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96819A9-41DB-4713-9C4D-C24DCE16ECD8}" xr6:coauthVersionLast="47" xr6:coauthVersionMax="47" xr10:uidLastSave="{00000000-0000-0000-0000-000000000000}"/>
  <bookViews>
    <workbookView xWindow="-110" yWindow="-110" windowWidth="19420" windowHeight="10420" firstSheet="4" activeTab="8" xr2:uid="{00000000-000D-0000-FFFF-FFFF00000000}"/>
  </bookViews>
  <sheets>
    <sheet name="experiment_data (2)" sheetId="12" r:id="rId1"/>
    <sheet name="Group_Counts" sheetId="6" r:id="rId2"/>
    <sheet name="experiment group segementation" sheetId="8" r:id="rId3"/>
    <sheet name="device type" sheetId="9" r:id="rId4"/>
    <sheet name="Traffic source" sheetId="10" r:id="rId5"/>
    <sheet name="plan type" sheetId="11" r:id="rId6"/>
    <sheet name="experiment_data" sheetId="1" r:id="rId7"/>
    <sheet name="business_context" sheetId="2" r:id="rId8"/>
    <sheet name="Summary" sheetId="13" r:id="rId9"/>
    <sheet name="Sheet2" sheetId="14" r:id="rId10"/>
  </sheets>
  <definedNames>
    <definedName name="_xlnm._FilterDatabase" localSheetId="6" hidden="1">experiment_data!$A$1:$R$1409</definedName>
    <definedName name="_xlnm._FilterDatabase" localSheetId="0" hidden="1">'experiment_data (2)'!$A$1:$R$1409</definedName>
  </definedNames>
  <calcPr calcId="191029"/>
  <pivotCaches>
    <pivotCache cacheId="0" r:id="rId11"/>
    <pivotCache cacheId="1" r:id="rId12"/>
  </pivotCaches>
</workbook>
</file>

<file path=xl/calcChain.xml><?xml version="1.0" encoding="utf-8"?>
<calcChain xmlns="http://schemas.openxmlformats.org/spreadsheetml/2006/main">
  <c r="Y21" i="1" l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R1409" i="12"/>
  <c r="Q1409" i="12"/>
  <c r="R1408" i="12"/>
  <c r="Q1408" i="12"/>
  <c r="R1407" i="12"/>
  <c r="Q1407" i="12"/>
  <c r="Q1406" i="12"/>
  <c r="R1406" i="12" s="1"/>
  <c r="Q1405" i="12"/>
  <c r="R1405" i="12" s="1"/>
  <c r="Q1404" i="12"/>
  <c r="R1404" i="12" s="1"/>
  <c r="R1403" i="12"/>
  <c r="Q1403" i="12"/>
  <c r="Q1402" i="12"/>
  <c r="R1402" i="12" s="1"/>
  <c r="R1401" i="12"/>
  <c r="Q1401" i="12"/>
  <c r="R1400" i="12"/>
  <c r="Q1400" i="12"/>
  <c r="R1399" i="12"/>
  <c r="Q1399" i="12"/>
  <c r="Q1398" i="12"/>
  <c r="R1398" i="12" s="1"/>
  <c r="Q1397" i="12"/>
  <c r="R1397" i="12" s="1"/>
  <c r="Q1396" i="12"/>
  <c r="R1396" i="12" s="1"/>
  <c r="R1395" i="12"/>
  <c r="Q1395" i="12"/>
  <c r="Q1394" i="12"/>
  <c r="R1394" i="12" s="1"/>
  <c r="R1393" i="12"/>
  <c r="Q1393" i="12"/>
  <c r="R1392" i="12"/>
  <c r="Q1392" i="12"/>
  <c r="R1391" i="12"/>
  <c r="Q1391" i="12"/>
  <c r="Q1390" i="12"/>
  <c r="R1390" i="12" s="1"/>
  <c r="Q1389" i="12"/>
  <c r="R1389" i="12" s="1"/>
  <c r="R1388" i="12"/>
  <c r="Q1388" i="12"/>
  <c r="R1387" i="12"/>
  <c r="Q1387" i="12"/>
  <c r="Q1386" i="12"/>
  <c r="R1386" i="12" s="1"/>
  <c r="R1385" i="12"/>
  <c r="Q1385" i="12"/>
  <c r="R1384" i="12"/>
  <c r="Q1384" i="12"/>
  <c r="R1383" i="12"/>
  <c r="Q1383" i="12"/>
  <c r="Q1382" i="12"/>
  <c r="R1382" i="12" s="1"/>
  <c r="Q1381" i="12"/>
  <c r="R1381" i="12" s="1"/>
  <c r="R1380" i="12"/>
  <c r="Q1380" i="12"/>
  <c r="R1379" i="12"/>
  <c r="Q1379" i="12"/>
  <c r="Q1378" i="12"/>
  <c r="R1378" i="12" s="1"/>
  <c r="R1377" i="12"/>
  <c r="Q1377" i="12"/>
  <c r="R1376" i="12"/>
  <c r="Q1376" i="12"/>
  <c r="R1375" i="12"/>
  <c r="Q1375" i="12"/>
  <c r="Q1374" i="12"/>
  <c r="R1374" i="12" s="1"/>
  <c r="Q1373" i="12"/>
  <c r="R1373" i="12" s="1"/>
  <c r="R1372" i="12"/>
  <c r="Q1372" i="12"/>
  <c r="R1371" i="12"/>
  <c r="Q1371" i="12"/>
  <c r="Q1370" i="12"/>
  <c r="R1370" i="12" s="1"/>
  <c r="R1369" i="12"/>
  <c r="Q1369" i="12"/>
  <c r="R1368" i="12"/>
  <c r="Q1368" i="12"/>
  <c r="R1367" i="12"/>
  <c r="Q1367" i="12"/>
  <c r="Q1366" i="12"/>
  <c r="R1366" i="12" s="1"/>
  <c r="Q1365" i="12"/>
  <c r="R1365" i="12" s="1"/>
  <c r="R1364" i="12"/>
  <c r="Q1364" i="12"/>
  <c r="R1363" i="12"/>
  <c r="Q1363" i="12"/>
  <c r="Q1362" i="12"/>
  <c r="R1362" i="12" s="1"/>
  <c r="R1361" i="12"/>
  <c r="Q1361" i="12"/>
  <c r="R1360" i="12"/>
  <c r="Q1360" i="12"/>
  <c r="R1359" i="12"/>
  <c r="Q1359" i="12"/>
  <c r="Q1358" i="12"/>
  <c r="R1358" i="12" s="1"/>
  <c r="Q1357" i="12"/>
  <c r="R1357" i="12" s="1"/>
  <c r="R1356" i="12"/>
  <c r="Q1356" i="12"/>
  <c r="R1355" i="12"/>
  <c r="Q1355" i="12"/>
  <c r="Q1354" i="12"/>
  <c r="R1354" i="12" s="1"/>
  <c r="R1353" i="12"/>
  <c r="Q1353" i="12"/>
  <c r="R1352" i="12"/>
  <c r="Q1352" i="12"/>
  <c r="R1351" i="12"/>
  <c r="Q1351" i="12"/>
  <c r="Q1350" i="12"/>
  <c r="R1350" i="12" s="1"/>
  <c r="Q1349" i="12"/>
  <c r="R1349" i="12" s="1"/>
  <c r="R1348" i="12"/>
  <c r="Q1348" i="12"/>
  <c r="R1347" i="12"/>
  <c r="Q1347" i="12"/>
  <c r="Q1346" i="12"/>
  <c r="R1346" i="12" s="1"/>
  <c r="R1345" i="12"/>
  <c r="Q1345" i="12"/>
  <c r="R1344" i="12"/>
  <c r="Q1344" i="12"/>
  <c r="R1343" i="12"/>
  <c r="Q1343" i="12"/>
  <c r="Q1342" i="12"/>
  <c r="R1342" i="12" s="1"/>
  <c r="Q1341" i="12"/>
  <c r="R1341" i="12" s="1"/>
  <c r="R1340" i="12"/>
  <c r="Q1340" i="12"/>
  <c r="R1339" i="12"/>
  <c r="Q1339" i="12"/>
  <c r="Q1338" i="12"/>
  <c r="R1338" i="12" s="1"/>
  <c r="R1337" i="12"/>
  <c r="Q1337" i="12"/>
  <c r="R1336" i="12"/>
  <c r="Q1336" i="12"/>
  <c r="R1335" i="12"/>
  <c r="Q1335" i="12"/>
  <c r="Q1334" i="12"/>
  <c r="R1334" i="12" s="1"/>
  <c r="Q1333" i="12"/>
  <c r="R1333" i="12" s="1"/>
  <c r="R1332" i="12"/>
  <c r="Q1332" i="12"/>
  <c r="R1331" i="12"/>
  <c r="Q1331" i="12"/>
  <c r="Q1330" i="12"/>
  <c r="R1330" i="12" s="1"/>
  <c r="R1329" i="12"/>
  <c r="Q1329" i="12"/>
  <c r="R1328" i="12"/>
  <c r="Q1328" i="12"/>
  <c r="R1327" i="12"/>
  <c r="Q1327" i="12"/>
  <c r="Q1326" i="12"/>
  <c r="R1326" i="12" s="1"/>
  <c r="Q1325" i="12"/>
  <c r="R1325" i="12" s="1"/>
  <c r="R1324" i="12"/>
  <c r="Q1324" i="12"/>
  <c r="R1323" i="12"/>
  <c r="Q1323" i="12"/>
  <c r="Q1322" i="12"/>
  <c r="R1322" i="12" s="1"/>
  <c r="R1321" i="12"/>
  <c r="Q1321" i="12"/>
  <c r="R1320" i="12"/>
  <c r="Q1320" i="12"/>
  <c r="R1319" i="12"/>
  <c r="Q1319" i="12"/>
  <c r="Q1318" i="12"/>
  <c r="R1318" i="12" s="1"/>
  <c r="Q1317" i="12"/>
  <c r="R1317" i="12" s="1"/>
  <c r="R1316" i="12"/>
  <c r="Q1316" i="12"/>
  <c r="R1315" i="12"/>
  <c r="Q1315" i="12"/>
  <c r="Q1314" i="12"/>
  <c r="R1314" i="12" s="1"/>
  <c r="R1313" i="12"/>
  <c r="Q1313" i="12"/>
  <c r="R1312" i="12"/>
  <c r="Q1312" i="12"/>
  <c r="R1311" i="12"/>
  <c r="Q1311" i="12"/>
  <c r="Q1310" i="12"/>
  <c r="R1310" i="12" s="1"/>
  <c r="Q1309" i="12"/>
  <c r="R1309" i="12" s="1"/>
  <c r="R1308" i="12"/>
  <c r="Q1308" i="12"/>
  <c r="R1307" i="12"/>
  <c r="Q1307" i="12"/>
  <c r="Q1306" i="12"/>
  <c r="R1306" i="12" s="1"/>
  <c r="R1305" i="12"/>
  <c r="Q1305" i="12"/>
  <c r="R1304" i="12"/>
  <c r="Q1304" i="12"/>
  <c r="R1303" i="12"/>
  <c r="Q1303" i="12"/>
  <c r="Q1302" i="12"/>
  <c r="R1302" i="12" s="1"/>
  <c r="Q1301" i="12"/>
  <c r="R1301" i="12" s="1"/>
  <c r="R1300" i="12"/>
  <c r="Q1300" i="12"/>
  <c r="R1299" i="12"/>
  <c r="Q1299" i="12"/>
  <c r="Q1298" i="12"/>
  <c r="R1298" i="12" s="1"/>
  <c r="Q1297" i="12"/>
  <c r="R1297" i="12" s="1"/>
  <c r="R1296" i="12"/>
  <c r="Q1296" i="12"/>
  <c r="R1295" i="12"/>
  <c r="Q1295" i="12"/>
  <c r="R1294" i="12"/>
  <c r="Q1294" i="12"/>
  <c r="Q1293" i="12"/>
  <c r="R1293" i="12" s="1"/>
  <c r="R1292" i="12"/>
  <c r="Q1292" i="12"/>
  <c r="R1291" i="12"/>
  <c r="Q1291" i="12"/>
  <c r="Q1290" i="12"/>
  <c r="R1290" i="12" s="1"/>
  <c r="Q1289" i="12"/>
  <c r="R1289" i="12" s="1"/>
  <c r="R1288" i="12"/>
  <c r="Q1288" i="12"/>
  <c r="R1287" i="12"/>
  <c r="Q1287" i="12"/>
  <c r="R1286" i="12"/>
  <c r="Q1286" i="12"/>
  <c r="Q1285" i="12"/>
  <c r="R1285" i="12" s="1"/>
  <c r="R1284" i="12"/>
  <c r="Q1284" i="12"/>
  <c r="R1283" i="12"/>
  <c r="Q1283" i="12"/>
  <c r="Q1282" i="12"/>
  <c r="R1282" i="12" s="1"/>
  <c r="Q1281" i="12"/>
  <c r="R1281" i="12" s="1"/>
  <c r="R1280" i="12"/>
  <c r="Q1280" i="12"/>
  <c r="R1279" i="12"/>
  <c r="Q1279" i="12"/>
  <c r="R1278" i="12"/>
  <c r="Q1278" i="12"/>
  <c r="Q1277" i="12"/>
  <c r="R1277" i="12" s="1"/>
  <c r="R1276" i="12"/>
  <c r="Q1276" i="12"/>
  <c r="R1275" i="12"/>
  <c r="Q1275" i="12"/>
  <c r="Q1274" i="12"/>
  <c r="R1274" i="12" s="1"/>
  <c r="Q1273" i="12"/>
  <c r="R1273" i="12" s="1"/>
  <c r="R1272" i="12"/>
  <c r="Q1272" i="12"/>
  <c r="R1271" i="12"/>
  <c r="Q1271" i="12"/>
  <c r="R1270" i="12"/>
  <c r="Q1270" i="12"/>
  <c r="Q1269" i="12"/>
  <c r="R1269" i="12" s="1"/>
  <c r="R1268" i="12"/>
  <c r="Q1268" i="12"/>
  <c r="R1267" i="12"/>
  <c r="Q1267" i="12"/>
  <c r="Q1266" i="12"/>
  <c r="R1266" i="12" s="1"/>
  <c r="Q1265" i="12"/>
  <c r="R1265" i="12" s="1"/>
  <c r="R1264" i="12"/>
  <c r="Q1264" i="12"/>
  <c r="R1263" i="12"/>
  <c r="Q1263" i="12"/>
  <c r="R1262" i="12"/>
  <c r="Q1262" i="12"/>
  <c r="Q1261" i="12"/>
  <c r="R1261" i="12" s="1"/>
  <c r="R1260" i="12"/>
  <c r="Q1260" i="12"/>
  <c r="R1259" i="12"/>
  <c r="Q1259" i="12"/>
  <c r="Q1258" i="12"/>
  <c r="R1258" i="12" s="1"/>
  <c r="Q1257" i="12"/>
  <c r="R1257" i="12" s="1"/>
  <c r="R1256" i="12"/>
  <c r="Q1256" i="12"/>
  <c r="R1255" i="12"/>
  <c r="Q1255" i="12"/>
  <c r="R1254" i="12"/>
  <c r="Q1254" i="12"/>
  <c r="Q1253" i="12"/>
  <c r="R1253" i="12" s="1"/>
  <c r="R1252" i="12"/>
  <c r="Q1252" i="12"/>
  <c r="R1251" i="12"/>
  <c r="Q1251" i="12"/>
  <c r="Q1250" i="12"/>
  <c r="R1250" i="12" s="1"/>
  <c r="Q1249" i="12"/>
  <c r="R1249" i="12" s="1"/>
  <c r="R1248" i="12"/>
  <c r="Q1248" i="12"/>
  <c r="R1247" i="12"/>
  <c r="Q1247" i="12"/>
  <c r="R1246" i="12"/>
  <c r="Q1246" i="12"/>
  <c r="Q1245" i="12"/>
  <c r="R1245" i="12" s="1"/>
  <c r="R1244" i="12"/>
  <c r="Q1244" i="12"/>
  <c r="R1243" i="12"/>
  <c r="Q1243" i="12"/>
  <c r="Q1242" i="12"/>
  <c r="R1242" i="12" s="1"/>
  <c r="Q1241" i="12"/>
  <c r="R1241" i="12" s="1"/>
  <c r="R1240" i="12"/>
  <c r="Q1240" i="12"/>
  <c r="R1239" i="12"/>
  <c r="Q1239" i="12"/>
  <c r="R1238" i="12"/>
  <c r="Q1238" i="12"/>
  <c r="Q1237" i="12"/>
  <c r="R1237" i="12" s="1"/>
  <c r="R1236" i="12"/>
  <c r="Q1236" i="12"/>
  <c r="R1235" i="12"/>
  <c r="Q1235" i="12"/>
  <c r="Q1234" i="12"/>
  <c r="R1234" i="12" s="1"/>
  <c r="Q1233" i="12"/>
  <c r="R1233" i="12" s="1"/>
  <c r="R1232" i="12"/>
  <c r="Q1232" i="12"/>
  <c r="R1231" i="12"/>
  <c r="Q1231" i="12"/>
  <c r="R1230" i="12"/>
  <c r="Q1230" i="12"/>
  <c r="Q1229" i="12"/>
  <c r="R1229" i="12" s="1"/>
  <c r="R1228" i="12"/>
  <c r="Q1228" i="12"/>
  <c r="R1227" i="12"/>
  <c r="Q1227" i="12"/>
  <c r="Q1226" i="12"/>
  <c r="R1226" i="12" s="1"/>
  <c r="Q1225" i="12"/>
  <c r="R1225" i="12" s="1"/>
  <c r="R1224" i="12"/>
  <c r="Q1224" i="12"/>
  <c r="R1223" i="12"/>
  <c r="Q1223" i="12"/>
  <c r="R1222" i="12"/>
  <c r="Q1222" i="12"/>
  <c r="Q1221" i="12"/>
  <c r="R1221" i="12" s="1"/>
  <c r="R1220" i="12"/>
  <c r="Q1220" i="12"/>
  <c r="R1219" i="12"/>
  <c r="Q1219" i="12"/>
  <c r="Q1218" i="12"/>
  <c r="R1218" i="12" s="1"/>
  <c r="Q1217" i="12"/>
  <c r="R1217" i="12" s="1"/>
  <c r="R1216" i="12"/>
  <c r="Q1216" i="12"/>
  <c r="R1215" i="12"/>
  <c r="Q1215" i="12"/>
  <c r="R1214" i="12"/>
  <c r="Q1214" i="12"/>
  <c r="Q1213" i="12"/>
  <c r="R1213" i="12" s="1"/>
  <c r="R1212" i="12"/>
  <c r="Q1212" i="12"/>
  <c r="R1211" i="12"/>
  <c r="Q1211" i="12"/>
  <c r="Q1210" i="12"/>
  <c r="R1210" i="12" s="1"/>
  <c r="Q1209" i="12"/>
  <c r="R1209" i="12" s="1"/>
  <c r="R1208" i="12"/>
  <c r="Q1208" i="12"/>
  <c r="R1207" i="12"/>
  <c r="Q1207" i="12"/>
  <c r="R1206" i="12"/>
  <c r="Q1206" i="12"/>
  <c r="Q1205" i="12"/>
  <c r="R1205" i="12" s="1"/>
  <c r="R1204" i="12"/>
  <c r="Q1204" i="12"/>
  <c r="R1203" i="12"/>
  <c r="Q1203" i="12"/>
  <c r="Q1202" i="12"/>
  <c r="R1202" i="12" s="1"/>
  <c r="Q1201" i="12"/>
  <c r="R1201" i="12" s="1"/>
  <c r="R1200" i="12"/>
  <c r="Q1200" i="12"/>
  <c r="R1199" i="12"/>
  <c r="Q1199" i="12"/>
  <c r="R1198" i="12"/>
  <c r="Q1198" i="12"/>
  <c r="Q1197" i="12"/>
  <c r="R1197" i="12" s="1"/>
  <c r="R1196" i="12"/>
  <c r="Q1196" i="12"/>
  <c r="R1195" i="12"/>
  <c r="Q1195" i="12"/>
  <c r="Q1194" i="12"/>
  <c r="R1194" i="12" s="1"/>
  <c r="Q1193" i="12"/>
  <c r="R1193" i="12" s="1"/>
  <c r="R1192" i="12"/>
  <c r="Q1192" i="12"/>
  <c r="R1191" i="12"/>
  <c r="Q1191" i="12"/>
  <c r="R1190" i="12"/>
  <c r="Q1190" i="12"/>
  <c r="Q1189" i="12"/>
  <c r="R1189" i="12" s="1"/>
  <c r="R1188" i="12"/>
  <c r="Q1188" i="12"/>
  <c r="R1187" i="12"/>
  <c r="Q1187" i="12"/>
  <c r="Q1186" i="12"/>
  <c r="R1186" i="12" s="1"/>
  <c r="Q1185" i="12"/>
  <c r="R1185" i="12" s="1"/>
  <c r="R1184" i="12"/>
  <c r="Q1184" i="12"/>
  <c r="R1183" i="12"/>
  <c r="Q1183" i="12"/>
  <c r="R1182" i="12"/>
  <c r="Q1182" i="12"/>
  <c r="Q1181" i="12"/>
  <c r="R1181" i="12" s="1"/>
  <c r="R1180" i="12"/>
  <c r="Q1180" i="12"/>
  <c r="R1179" i="12"/>
  <c r="Q1179" i="12"/>
  <c r="Q1178" i="12"/>
  <c r="R1178" i="12" s="1"/>
  <c r="Q1177" i="12"/>
  <c r="R1177" i="12" s="1"/>
  <c r="R1176" i="12"/>
  <c r="Q1176" i="12"/>
  <c r="R1175" i="12"/>
  <c r="Q1175" i="12"/>
  <c r="R1174" i="12"/>
  <c r="Q1174" i="12"/>
  <c r="R1173" i="12"/>
  <c r="Q1173" i="12"/>
  <c r="R1172" i="12"/>
  <c r="Q1172" i="12"/>
  <c r="R1171" i="12"/>
  <c r="Q1171" i="12"/>
  <c r="Q1170" i="12"/>
  <c r="R1170" i="12" s="1"/>
  <c r="Q1169" i="12"/>
  <c r="R1169" i="12" s="1"/>
  <c r="R1168" i="12"/>
  <c r="Q1168" i="12"/>
  <c r="R1167" i="12"/>
  <c r="Q1167" i="12"/>
  <c r="R1166" i="12"/>
  <c r="Q1166" i="12"/>
  <c r="R1165" i="12"/>
  <c r="Q1165" i="12"/>
  <c r="R1164" i="12"/>
  <c r="Q1164" i="12"/>
  <c r="R1163" i="12"/>
  <c r="Q1163" i="12"/>
  <c r="Q1162" i="12"/>
  <c r="R1162" i="12" s="1"/>
  <c r="Q1161" i="12"/>
  <c r="R1161" i="12" s="1"/>
  <c r="R1160" i="12"/>
  <c r="Q1160" i="12"/>
  <c r="R1159" i="12"/>
  <c r="Q1159" i="12"/>
  <c r="R1158" i="12"/>
  <c r="Q1158" i="12"/>
  <c r="R1157" i="12"/>
  <c r="Q1157" i="12"/>
  <c r="R1156" i="12"/>
  <c r="Q1156" i="12"/>
  <c r="R1155" i="12"/>
  <c r="Q1155" i="12"/>
  <c r="Q1154" i="12"/>
  <c r="R1154" i="12" s="1"/>
  <c r="Q1153" i="12"/>
  <c r="R1153" i="12" s="1"/>
  <c r="R1152" i="12"/>
  <c r="Q1152" i="12"/>
  <c r="R1151" i="12"/>
  <c r="Q1151" i="12"/>
  <c r="R1150" i="12"/>
  <c r="Q1150" i="12"/>
  <c r="R1149" i="12"/>
  <c r="Q1149" i="12"/>
  <c r="R1148" i="12"/>
  <c r="Q1148" i="12"/>
  <c r="R1147" i="12"/>
  <c r="Q1147" i="12"/>
  <c r="Q1146" i="12"/>
  <c r="R1146" i="12" s="1"/>
  <c r="Q1145" i="12"/>
  <c r="R1145" i="12" s="1"/>
  <c r="Q1144" i="12"/>
  <c r="R1144" i="12" s="1"/>
  <c r="R1143" i="12"/>
  <c r="Q1143" i="12"/>
  <c r="R1142" i="12"/>
  <c r="Q1142" i="12"/>
  <c r="R1141" i="12"/>
  <c r="Q1141" i="12"/>
  <c r="R1140" i="12"/>
  <c r="Q1140" i="12"/>
  <c r="R1139" i="12"/>
  <c r="Q1139" i="12"/>
  <c r="Q1138" i="12"/>
  <c r="R1138" i="12" s="1"/>
  <c r="Q1137" i="12"/>
  <c r="R1137" i="12" s="1"/>
  <c r="Q1136" i="12"/>
  <c r="R1136" i="12" s="1"/>
  <c r="R1135" i="12"/>
  <c r="Q1135" i="12"/>
  <c r="R1134" i="12"/>
  <c r="Q1134" i="12"/>
  <c r="R1133" i="12"/>
  <c r="Q1133" i="12"/>
  <c r="R1132" i="12"/>
  <c r="Q1132" i="12"/>
  <c r="R1131" i="12"/>
  <c r="Q1131" i="12"/>
  <c r="Q1130" i="12"/>
  <c r="R1130" i="12" s="1"/>
  <c r="Q1129" i="12"/>
  <c r="R1129" i="12" s="1"/>
  <c r="Q1128" i="12"/>
  <c r="R1128" i="12" s="1"/>
  <c r="R1127" i="12"/>
  <c r="Q1127" i="12"/>
  <c r="R1126" i="12"/>
  <c r="Q1126" i="12"/>
  <c r="R1125" i="12"/>
  <c r="Q1125" i="12"/>
  <c r="R1124" i="12"/>
  <c r="Q1124" i="12"/>
  <c r="R1123" i="12"/>
  <c r="Q1123" i="12"/>
  <c r="Q1122" i="12"/>
  <c r="R1122" i="12" s="1"/>
  <c r="Q1121" i="12"/>
  <c r="R1121" i="12" s="1"/>
  <c r="Q1120" i="12"/>
  <c r="R1120" i="12" s="1"/>
  <c r="R1119" i="12"/>
  <c r="Q1119" i="12"/>
  <c r="R1118" i="12"/>
  <c r="Q1118" i="12"/>
  <c r="R1117" i="12"/>
  <c r="Q1117" i="12"/>
  <c r="R1116" i="12"/>
  <c r="Q1116" i="12"/>
  <c r="R1115" i="12"/>
  <c r="Q1115" i="12"/>
  <c r="Q1114" i="12"/>
  <c r="R1114" i="12" s="1"/>
  <c r="Q1113" i="12"/>
  <c r="R1113" i="12" s="1"/>
  <c r="Q1112" i="12"/>
  <c r="R1112" i="12" s="1"/>
  <c r="R1111" i="12"/>
  <c r="Q1111" i="12"/>
  <c r="R1110" i="12"/>
  <c r="Q1110" i="12"/>
  <c r="R1109" i="12"/>
  <c r="Q1109" i="12"/>
  <c r="R1108" i="12"/>
  <c r="Q1108" i="12"/>
  <c r="R1107" i="12"/>
  <c r="Q1107" i="12"/>
  <c r="Q1106" i="12"/>
  <c r="R1106" i="12" s="1"/>
  <c r="Q1105" i="12"/>
  <c r="R1105" i="12" s="1"/>
  <c r="Q1104" i="12"/>
  <c r="R1104" i="12" s="1"/>
  <c r="R1103" i="12"/>
  <c r="Q1103" i="12"/>
  <c r="R1102" i="12"/>
  <c r="Q1102" i="12"/>
  <c r="R1101" i="12"/>
  <c r="Q1101" i="12"/>
  <c r="R1100" i="12"/>
  <c r="Q1100" i="12"/>
  <c r="R1099" i="12"/>
  <c r="Q1099" i="12"/>
  <c r="Q1098" i="12"/>
  <c r="R1098" i="12" s="1"/>
  <c r="Q1097" i="12"/>
  <c r="R1097" i="12" s="1"/>
  <c r="Q1096" i="12"/>
  <c r="R1096" i="12" s="1"/>
  <c r="R1095" i="12"/>
  <c r="Q1095" i="12"/>
  <c r="R1094" i="12"/>
  <c r="Q1094" i="12"/>
  <c r="R1093" i="12"/>
  <c r="Q1093" i="12"/>
  <c r="R1092" i="12"/>
  <c r="Q1092" i="12"/>
  <c r="R1091" i="12"/>
  <c r="Q1091" i="12"/>
  <c r="Q1090" i="12"/>
  <c r="R1090" i="12" s="1"/>
  <c r="Q1089" i="12"/>
  <c r="R1089" i="12" s="1"/>
  <c r="Q1088" i="12"/>
  <c r="R1088" i="12" s="1"/>
  <c r="Q1087" i="12"/>
  <c r="R1087" i="12" s="1"/>
  <c r="Q1086" i="12"/>
  <c r="R1086" i="12" s="1"/>
  <c r="R1085" i="12"/>
  <c r="Q1085" i="12"/>
  <c r="R1084" i="12"/>
  <c r="Q1084" i="12"/>
  <c r="R1083" i="12"/>
  <c r="Q1083" i="12"/>
  <c r="Q1082" i="12"/>
  <c r="R1082" i="12" s="1"/>
  <c r="Q1081" i="12"/>
  <c r="R1081" i="12" s="1"/>
  <c r="R1080" i="12"/>
  <c r="Q1080" i="12"/>
  <c r="Q1079" i="12"/>
  <c r="R1079" i="12" s="1"/>
  <c r="Q1078" i="12"/>
  <c r="R1078" i="12" s="1"/>
  <c r="R1077" i="12"/>
  <c r="Q1077" i="12"/>
  <c r="R1076" i="12"/>
  <c r="Q1076" i="12"/>
  <c r="Q1075" i="12"/>
  <c r="R1075" i="12" s="1"/>
  <c r="Q1074" i="12"/>
  <c r="R1074" i="12" s="1"/>
  <c r="Q1073" i="12"/>
  <c r="R1073" i="12" s="1"/>
  <c r="Q1072" i="12"/>
  <c r="R1072" i="12" s="1"/>
  <c r="R1071" i="12"/>
  <c r="Q1071" i="12"/>
  <c r="Q1070" i="12"/>
  <c r="R1070" i="12" s="1"/>
  <c r="R1069" i="12"/>
  <c r="Q1069" i="12"/>
  <c r="R1068" i="12"/>
  <c r="Q1068" i="12"/>
  <c r="Q1067" i="12"/>
  <c r="R1067" i="12" s="1"/>
  <c r="Q1066" i="12"/>
  <c r="R1066" i="12" s="1"/>
  <c r="Q1065" i="12"/>
  <c r="R1065" i="12" s="1"/>
  <c r="Q1064" i="12"/>
  <c r="R1064" i="12" s="1"/>
  <c r="Q1063" i="12"/>
  <c r="R1063" i="12" s="1"/>
  <c r="Q1062" i="12"/>
  <c r="R1062" i="12" s="1"/>
  <c r="R1061" i="12"/>
  <c r="Q1061" i="12"/>
  <c r="R1060" i="12"/>
  <c r="Q1060" i="12"/>
  <c r="Q1059" i="12"/>
  <c r="R1059" i="12" s="1"/>
  <c r="Q1058" i="12"/>
  <c r="R1058" i="12" s="1"/>
  <c r="Q1057" i="12"/>
  <c r="R1057" i="12" s="1"/>
  <c r="Q1056" i="12"/>
  <c r="R1056" i="12" s="1"/>
  <c r="Q1055" i="12"/>
  <c r="R1055" i="12" s="1"/>
  <c r="Q1054" i="12"/>
  <c r="R1054" i="12" s="1"/>
  <c r="R1053" i="12"/>
  <c r="Q1053" i="12"/>
  <c r="R1052" i="12"/>
  <c r="Q1052" i="12"/>
  <c r="Q1051" i="12"/>
  <c r="R1051" i="12" s="1"/>
  <c r="Q1050" i="12"/>
  <c r="R1050" i="12" s="1"/>
  <c r="Q1049" i="12"/>
  <c r="R1049" i="12" s="1"/>
  <c r="Q1048" i="12"/>
  <c r="R1048" i="12" s="1"/>
  <c r="Q1047" i="12"/>
  <c r="R1047" i="12" s="1"/>
  <c r="Q1046" i="12"/>
  <c r="R1046" i="12" s="1"/>
  <c r="R1045" i="12"/>
  <c r="Q1045" i="12"/>
  <c r="R1044" i="12"/>
  <c r="Q1044" i="12"/>
  <c r="Q1043" i="12"/>
  <c r="R1043" i="12" s="1"/>
  <c r="Q1042" i="12"/>
  <c r="R1042" i="12" s="1"/>
  <c r="Q1041" i="12"/>
  <c r="R1041" i="12" s="1"/>
  <c r="Q1040" i="12"/>
  <c r="R1040" i="12" s="1"/>
  <c r="Q1039" i="12"/>
  <c r="R1039" i="12" s="1"/>
  <c r="Q1038" i="12"/>
  <c r="R1038" i="12" s="1"/>
  <c r="R1037" i="12"/>
  <c r="Q1037" i="12"/>
  <c r="R1036" i="12"/>
  <c r="Q1036" i="12"/>
  <c r="Q1035" i="12"/>
  <c r="R1035" i="12" s="1"/>
  <c r="Q1034" i="12"/>
  <c r="R1034" i="12" s="1"/>
  <c r="Q1033" i="12"/>
  <c r="R1033" i="12" s="1"/>
  <c r="Q1032" i="12"/>
  <c r="R1032" i="12" s="1"/>
  <c r="Q1031" i="12"/>
  <c r="R1031" i="12" s="1"/>
  <c r="Q1030" i="12"/>
  <c r="R1030" i="12" s="1"/>
  <c r="R1029" i="12"/>
  <c r="Q1029" i="12"/>
  <c r="R1028" i="12"/>
  <c r="Q1028" i="12"/>
  <c r="Q1027" i="12"/>
  <c r="R1027" i="12" s="1"/>
  <c r="Q1026" i="12"/>
  <c r="R1026" i="12" s="1"/>
  <c r="Q1025" i="12"/>
  <c r="R1025" i="12" s="1"/>
  <c r="R1024" i="12"/>
  <c r="Q1024" i="12"/>
  <c r="Q1023" i="12"/>
  <c r="R1023" i="12" s="1"/>
  <c r="Q1022" i="12"/>
  <c r="R1022" i="12" s="1"/>
  <c r="R1021" i="12"/>
  <c r="Q1021" i="12"/>
  <c r="R1020" i="12"/>
  <c r="Q1020" i="12"/>
  <c r="Q1019" i="12"/>
  <c r="R1019" i="12" s="1"/>
  <c r="Q1018" i="12"/>
  <c r="R1018" i="12" s="1"/>
  <c r="Q1017" i="12"/>
  <c r="R1017" i="12" s="1"/>
  <c r="R1016" i="12"/>
  <c r="Q1016" i="12"/>
  <c r="Q1015" i="12"/>
  <c r="R1015" i="12" s="1"/>
  <c r="Q1014" i="12"/>
  <c r="R1014" i="12" s="1"/>
  <c r="R1013" i="12"/>
  <c r="Q1013" i="12"/>
  <c r="R1012" i="12"/>
  <c r="Q1012" i="12"/>
  <c r="Q1011" i="12"/>
  <c r="R1011" i="12" s="1"/>
  <c r="Q1010" i="12"/>
  <c r="R1010" i="12" s="1"/>
  <c r="Q1009" i="12"/>
  <c r="R1009" i="12" s="1"/>
  <c r="R1008" i="12"/>
  <c r="Q1008" i="12"/>
  <c r="Q1007" i="12"/>
  <c r="R1007" i="12" s="1"/>
  <c r="Q1006" i="12"/>
  <c r="R1006" i="12" s="1"/>
  <c r="R1005" i="12"/>
  <c r="Q1005" i="12"/>
  <c r="R1004" i="12"/>
  <c r="Q1004" i="12"/>
  <c r="Q1003" i="12"/>
  <c r="R1003" i="12" s="1"/>
  <c r="Q1002" i="12"/>
  <c r="R1002" i="12" s="1"/>
  <c r="Q1001" i="12"/>
  <c r="R1001" i="12" s="1"/>
  <c r="R1000" i="12"/>
  <c r="Q1000" i="12"/>
  <c r="Q999" i="12"/>
  <c r="R999" i="12" s="1"/>
  <c r="Q998" i="12"/>
  <c r="R998" i="12" s="1"/>
  <c r="R997" i="12"/>
  <c r="Q997" i="12"/>
  <c r="R996" i="12"/>
  <c r="Q996" i="12"/>
  <c r="Q995" i="12"/>
  <c r="R995" i="12" s="1"/>
  <c r="Q994" i="12"/>
  <c r="R994" i="12" s="1"/>
  <c r="Q993" i="12"/>
  <c r="R993" i="12" s="1"/>
  <c r="R992" i="12"/>
  <c r="Q992" i="12"/>
  <c r="Q991" i="12"/>
  <c r="R991" i="12" s="1"/>
  <c r="Q990" i="12"/>
  <c r="R990" i="12" s="1"/>
  <c r="R989" i="12"/>
  <c r="Q989" i="12"/>
  <c r="R988" i="12"/>
  <c r="Q988" i="12"/>
  <c r="Q987" i="12"/>
  <c r="R987" i="12" s="1"/>
  <c r="Q986" i="12"/>
  <c r="R986" i="12" s="1"/>
  <c r="Q985" i="12"/>
  <c r="R985" i="12" s="1"/>
  <c r="R984" i="12"/>
  <c r="Q984" i="12"/>
  <c r="Q983" i="12"/>
  <c r="R983" i="12" s="1"/>
  <c r="Q982" i="12"/>
  <c r="R982" i="12" s="1"/>
  <c r="R981" i="12"/>
  <c r="Q981" i="12"/>
  <c r="R980" i="12"/>
  <c r="Q980" i="12"/>
  <c r="Q979" i="12"/>
  <c r="R979" i="12" s="1"/>
  <c r="Q978" i="12"/>
  <c r="R978" i="12" s="1"/>
  <c r="Q977" i="12"/>
  <c r="R977" i="12" s="1"/>
  <c r="R976" i="12"/>
  <c r="Q976" i="12"/>
  <c r="Q975" i="12"/>
  <c r="R975" i="12" s="1"/>
  <c r="Q974" i="12"/>
  <c r="R974" i="12" s="1"/>
  <c r="R973" i="12"/>
  <c r="Q973" i="12"/>
  <c r="R972" i="12"/>
  <c r="Q972" i="12"/>
  <c r="Q971" i="12"/>
  <c r="R971" i="12" s="1"/>
  <c r="Q970" i="12"/>
  <c r="R970" i="12" s="1"/>
  <c r="Q969" i="12"/>
  <c r="R969" i="12" s="1"/>
  <c r="R968" i="12"/>
  <c r="Q968" i="12"/>
  <c r="Q967" i="12"/>
  <c r="R967" i="12" s="1"/>
  <c r="Q966" i="12"/>
  <c r="R966" i="12" s="1"/>
  <c r="R965" i="12"/>
  <c r="Q965" i="12"/>
  <c r="R964" i="12"/>
  <c r="Q964" i="12"/>
  <c r="Q963" i="12"/>
  <c r="R963" i="12" s="1"/>
  <c r="Q962" i="12"/>
  <c r="R962" i="12" s="1"/>
  <c r="Q961" i="12"/>
  <c r="R961" i="12" s="1"/>
  <c r="R960" i="12"/>
  <c r="Q960" i="12"/>
  <c r="Q959" i="12"/>
  <c r="R959" i="12" s="1"/>
  <c r="Q958" i="12"/>
  <c r="R958" i="12" s="1"/>
  <c r="R957" i="12"/>
  <c r="Q957" i="12"/>
  <c r="R956" i="12"/>
  <c r="Q956" i="12"/>
  <c r="Q955" i="12"/>
  <c r="R955" i="12" s="1"/>
  <c r="Q954" i="12"/>
  <c r="R954" i="12" s="1"/>
  <c r="Q953" i="12"/>
  <c r="R953" i="12" s="1"/>
  <c r="R952" i="12"/>
  <c r="Q952" i="12"/>
  <c r="Q951" i="12"/>
  <c r="R951" i="12" s="1"/>
  <c r="Q950" i="12"/>
  <c r="R950" i="12" s="1"/>
  <c r="R949" i="12"/>
  <c r="Q949" i="12"/>
  <c r="R948" i="12"/>
  <c r="Q948" i="12"/>
  <c r="Q947" i="12"/>
  <c r="R947" i="12" s="1"/>
  <c r="Q946" i="12"/>
  <c r="R946" i="12" s="1"/>
  <c r="Q945" i="12"/>
  <c r="R945" i="12" s="1"/>
  <c r="R944" i="12"/>
  <c r="Q944" i="12"/>
  <c r="Q943" i="12"/>
  <c r="R943" i="12" s="1"/>
  <c r="Q942" i="12"/>
  <c r="R942" i="12" s="1"/>
  <c r="R941" i="12"/>
  <c r="Q941" i="12"/>
  <c r="R940" i="12"/>
  <c r="Q940" i="12"/>
  <c r="Q939" i="12"/>
  <c r="R939" i="12" s="1"/>
  <c r="Q938" i="12"/>
  <c r="R938" i="12" s="1"/>
  <c r="Q937" i="12"/>
  <c r="R937" i="12" s="1"/>
  <c r="R936" i="12"/>
  <c r="Q936" i="12"/>
  <c r="Q935" i="12"/>
  <c r="R935" i="12" s="1"/>
  <c r="Q934" i="12"/>
  <c r="R934" i="12" s="1"/>
  <c r="R933" i="12"/>
  <c r="Q933" i="12"/>
  <c r="R932" i="12"/>
  <c r="Q932" i="12"/>
  <c r="Q931" i="12"/>
  <c r="R931" i="12" s="1"/>
  <c r="Q930" i="12"/>
  <c r="R930" i="12" s="1"/>
  <c r="Q929" i="12"/>
  <c r="R929" i="12" s="1"/>
  <c r="R928" i="12"/>
  <c r="Q928" i="12"/>
  <c r="Q927" i="12"/>
  <c r="R927" i="12" s="1"/>
  <c r="Q926" i="12"/>
  <c r="R926" i="12" s="1"/>
  <c r="R925" i="12"/>
  <c r="Q925" i="12"/>
  <c r="R924" i="12"/>
  <c r="Q924" i="12"/>
  <c r="Q923" i="12"/>
  <c r="R923" i="12" s="1"/>
  <c r="Q922" i="12"/>
  <c r="R922" i="12" s="1"/>
  <c r="Q921" i="12"/>
  <c r="R921" i="12" s="1"/>
  <c r="R920" i="12"/>
  <c r="Q920" i="12"/>
  <c r="Q919" i="12"/>
  <c r="R919" i="12" s="1"/>
  <c r="Q918" i="12"/>
  <c r="R918" i="12" s="1"/>
  <c r="R917" i="12"/>
  <c r="Q917" i="12"/>
  <c r="R916" i="12"/>
  <c r="Q916" i="12"/>
  <c r="Q915" i="12"/>
  <c r="R915" i="12" s="1"/>
  <c r="Q914" i="12"/>
  <c r="R914" i="12" s="1"/>
  <c r="Q913" i="12"/>
  <c r="R913" i="12" s="1"/>
  <c r="R912" i="12"/>
  <c r="Q912" i="12"/>
  <c r="Q911" i="12"/>
  <c r="R911" i="12" s="1"/>
  <c r="Q910" i="12"/>
  <c r="R910" i="12" s="1"/>
  <c r="R909" i="12"/>
  <c r="Q909" i="12"/>
  <c r="R908" i="12"/>
  <c r="Q908" i="12"/>
  <c r="Q907" i="12"/>
  <c r="R907" i="12" s="1"/>
  <c r="Q906" i="12"/>
  <c r="R906" i="12" s="1"/>
  <c r="Q905" i="12"/>
  <c r="R905" i="12" s="1"/>
  <c r="R904" i="12"/>
  <c r="Q904" i="12"/>
  <c r="Q903" i="12"/>
  <c r="R903" i="12" s="1"/>
  <c r="Q902" i="12"/>
  <c r="R902" i="12" s="1"/>
  <c r="R901" i="12"/>
  <c r="Q901" i="12"/>
  <c r="R900" i="12"/>
  <c r="Q900" i="12"/>
  <c r="Q899" i="12"/>
  <c r="R899" i="12" s="1"/>
  <c r="Q898" i="12"/>
  <c r="R898" i="12" s="1"/>
  <c r="Q897" i="12"/>
  <c r="R897" i="12" s="1"/>
  <c r="R896" i="12"/>
  <c r="Q896" i="12"/>
  <c r="Q895" i="12"/>
  <c r="R895" i="12" s="1"/>
  <c r="Q894" i="12"/>
  <c r="R894" i="12" s="1"/>
  <c r="R893" i="12"/>
  <c r="Q893" i="12"/>
  <c r="R892" i="12"/>
  <c r="Q892" i="12"/>
  <c r="Q891" i="12"/>
  <c r="R891" i="12" s="1"/>
  <c r="Q890" i="12"/>
  <c r="R890" i="12" s="1"/>
  <c r="Q889" i="12"/>
  <c r="R889" i="12" s="1"/>
  <c r="R888" i="12"/>
  <c r="Q888" i="12"/>
  <c r="Q887" i="12"/>
  <c r="R887" i="12" s="1"/>
  <c r="Q886" i="12"/>
  <c r="R886" i="12" s="1"/>
  <c r="R885" i="12"/>
  <c r="Q885" i="12"/>
  <c r="R884" i="12"/>
  <c r="Q884" i="12"/>
  <c r="Q883" i="12"/>
  <c r="R883" i="12" s="1"/>
  <c r="Q882" i="12"/>
  <c r="R882" i="12" s="1"/>
  <c r="Q881" i="12"/>
  <c r="R881" i="12" s="1"/>
  <c r="R880" i="12"/>
  <c r="Q880" i="12"/>
  <c r="Q879" i="12"/>
  <c r="R879" i="12" s="1"/>
  <c r="Q878" i="12"/>
  <c r="R878" i="12" s="1"/>
  <c r="R877" i="12"/>
  <c r="Q877" i="12"/>
  <c r="R876" i="12"/>
  <c r="Q876" i="12"/>
  <c r="Q875" i="12"/>
  <c r="R875" i="12" s="1"/>
  <c r="Q874" i="12"/>
  <c r="R874" i="12" s="1"/>
  <c r="Q873" i="12"/>
  <c r="R873" i="12" s="1"/>
  <c r="R872" i="12"/>
  <c r="Q872" i="12"/>
  <c r="Q871" i="12"/>
  <c r="R871" i="12" s="1"/>
  <c r="Q870" i="12"/>
  <c r="R870" i="12" s="1"/>
  <c r="R869" i="12"/>
  <c r="Q869" i="12"/>
  <c r="R868" i="12"/>
  <c r="Q868" i="12"/>
  <c r="Q867" i="12"/>
  <c r="R867" i="12" s="1"/>
  <c r="Q866" i="12"/>
  <c r="R866" i="12" s="1"/>
  <c r="Q865" i="12"/>
  <c r="R865" i="12" s="1"/>
  <c r="R864" i="12"/>
  <c r="Q864" i="12"/>
  <c r="Q863" i="12"/>
  <c r="R863" i="12" s="1"/>
  <c r="Q862" i="12"/>
  <c r="R862" i="12" s="1"/>
  <c r="R861" i="12"/>
  <c r="Q861" i="12"/>
  <c r="R860" i="12"/>
  <c r="Q860" i="12"/>
  <c r="Q859" i="12"/>
  <c r="R859" i="12" s="1"/>
  <c r="Q858" i="12"/>
  <c r="R858" i="12" s="1"/>
  <c r="Q857" i="12"/>
  <c r="R857" i="12" s="1"/>
  <c r="R856" i="12"/>
  <c r="Q856" i="12"/>
  <c r="Q855" i="12"/>
  <c r="R855" i="12" s="1"/>
  <c r="Q854" i="12"/>
  <c r="R854" i="12" s="1"/>
  <c r="R853" i="12"/>
  <c r="Q853" i="12"/>
  <c r="R852" i="12"/>
  <c r="Q852" i="12"/>
  <c r="Q851" i="12"/>
  <c r="R851" i="12" s="1"/>
  <c r="Q850" i="12"/>
  <c r="R850" i="12" s="1"/>
  <c r="Q849" i="12"/>
  <c r="R849" i="12" s="1"/>
  <c r="R848" i="12"/>
  <c r="Q848" i="12"/>
  <c r="Q847" i="12"/>
  <c r="R847" i="12" s="1"/>
  <c r="Q846" i="12"/>
  <c r="R846" i="12" s="1"/>
  <c r="R845" i="12"/>
  <c r="Q845" i="12"/>
  <c r="R844" i="12"/>
  <c r="Q844" i="12"/>
  <c r="Q843" i="12"/>
  <c r="R843" i="12" s="1"/>
  <c r="Q842" i="12"/>
  <c r="R842" i="12" s="1"/>
  <c r="Q841" i="12"/>
  <c r="R841" i="12" s="1"/>
  <c r="R840" i="12"/>
  <c r="Q840" i="12"/>
  <c r="Q839" i="12"/>
  <c r="R839" i="12" s="1"/>
  <c r="Q838" i="12"/>
  <c r="R838" i="12" s="1"/>
  <c r="R837" i="12"/>
  <c r="Q837" i="12"/>
  <c r="R836" i="12"/>
  <c r="Q836" i="12"/>
  <c r="Q835" i="12"/>
  <c r="R835" i="12" s="1"/>
  <c r="Q834" i="12"/>
  <c r="R834" i="12" s="1"/>
  <c r="Q833" i="12"/>
  <c r="R833" i="12" s="1"/>
  <c r="R832" i="12"/>
  <c r="Q832" i="12"/>
  <c r="Q831" i="12"/>
  <c r="R831" i="12" s="1"/>
  <c r="Q830" i="12"/>
  <c r="R830" i="12" s="1"/>
  <c r="R829" i="12"/>
  <c r="Q829" i="12"/>
  <c r="R828" i="12"/>
  <c r="Q828" i="12"/>
  <c r="Q827" i="12"/>
  <c r="R827" i="12" s="1"/>
  <c r="Q826" i="12"/>
  <c r="R826" i="12" s="1"/>
  <c r="Q825" i="12"/>
  <c r="R825" i="12" s="1"/>
  <c r="R824" i="12"/>
  <c r="Q824" i="12"/>
  <c r="Q823" i="12"/>
  <c r="R823" i="12" s="1"/>
  <c r="Q822" i="12"/>
  <c r="R822" i="12" s="1"/>
  <c r="R821" i="12"/>
  <c r="Q821" i="12"/>
  <c r="R820" i="12"/>
  <c r="Q820" i="12"/>
  <c r="Q819" i="12"/>
  <c r="R819" i="12" s="1"/>
  <c r="Q818" i="12"/>
  <c r="R818" i="12" s="1"/>
  <c r="Q817" i="12"/>
  <c r="R817" i="12" s="1"/>
  <c r="R816" i="12"/>
  <c r="Q816" i="12"/>
  <c r="Q815" i="12"/>
  <c r="R815" i="12" s="1"/>
  <c r="Q814" i="12"/>
  <c r="R814" i="12" s="1"/>
  <c r="R813" i="12"/>
  <c r="Q813" i="12"/>
  <c r="R812" i="12"/>
  <c r="Q812" i="12"/>
  <c r="Q811" i="12"/>
  <c r="R811" i="12" s="1"/>
  <c r="Q810" i="12"/>
  <c r="R810" i="12" s="1"/>
  <c r="Q809" i="12"/>
  <c r="R809" i="12" s="1"/>
  <c r="R808" i="12"/>
  <c r="Q808" i="12"/>
  <c r="Q807" i="12"/>
  <c r="R807" i="12" s="1"/>
  <c r="Q806" i="12"/>
  <c r="R806" i="12" s="1"/>
  <c r="R805" i="12"/>
  <c r="Q805" i="12"/>
  <c r="R804" i="12"/>
  <c r="Q804" i="12"/>
  <c r="Q803" i="12"/>
  <c r="R803" i="12" s="1"/>
  <c r="Q802" i="12"/>
  <c r="R802" i="12" s="1"/>
  <c r="Q801" i="12"/>
  <c r="R801" i="12" s="1"/>
  <c r="R800" i="12"/>
  <c r="Q800" i="12"/>
  <c r="Q799" i="12"/>
  <c r="R799" i="12" s="1"/>
  <c r="Q798" i="12"/>
  <c r="R798" i="12" s="1"/>
  <c r="R797" i="12"/>
  <c r="Q797" i="12"/>
  <c r="R796" i="12"/>
  <c r="Q796" i="12"/>
  <c r="Q795" i="12"/>
  <c r="R795" i="12" s="1"/>
  <c r="Q794" i="12"/>
  <c r="R794" i="12" s="1"/>
  <c r="Q793" i="12"/>
  <c r="R793" i="12" s="1"/>
  <c r="Q792" i="12"/>
  <c r="R792" i="12" s="1"/>
  <c r="Q791" i="12"/>
  <c r="R791" i="12" s="1"/>
  <c r="Q790" i="12"/>
  <c r="R790" i="12" s="1"/>
  <c r="R789" i="12"/>
  <c r="Q789" i="12"/>
  <c r="R788" i="12"/>
  <c r="Q788" i="12"/>
  <c r="Q787" i="12"/>
  <c r="R787" i="12" s="1"/>
  <c r="Q786" i="12"/>
  <c r="R786" i="12" s="1"/>
  <c r="Q785" i="12"/>
  <c r="R785" i="12" s="1"/>
  <c r="R784" i="12"/>
  <c r="Q784" i="12"/>
  <c r="Q783" i="12"/>
  <c r="R783" i="12" s="1"/>
  <c r="Q782" i="12"/>
  <c r="R782" i="12" s="1"/>
  <c r="R781" i="12"/>
  <c r="Q781" i="12"/>
  <c r="R780" i="12"/>
  <c r="Q780" i="12"/>
  <c r="Q779" i="12"/>
  <c r="R779" i="12" s="1"/>
  <c r="Q778" i="12"/>
  <c r="R778" i="12" s="1"/>
  <c r="Q777" i="12"/>
  <c r="R777" i="12" s="1"/>
  <c r="R776" i="12"/>
  <c r="Q776" i="12"/>
  <c r="Q775" i="12"/>
  <c r="R775" i="12" s="1"/>
  <c r="Q774" i="12"/>
  <c r="R774" i="12" s="1"/>
  <c r="R773" i="12"/>
  <c r="Q773" i="12"/>
  <c r="R772" i="12"/>
  <c r="Q772" i="12"/>
  <c r="Q771" i="12"/>
  <c r="R771" i="12" s="1"/>
  <c r="Q770" i="12"/>
  <c r="R770" i="12" s="1"/>
  <c r="Q769" i="12"/>
  <c r="R769" i="12" s="1"/>
  <c r="Q768" i="12"/>
  <c r="R768" i="12" s="1"/>
  <c r="Q767" i="12"/>
  <c r="R767" i="12" s="1"/>
  <c r="Q766" i="12"/>
  <c r="R766" i="12" s="1"/>
  <c r="R765" i="12"/>
  <c r="Q765" i="12"/>
  <c r="R764" i="12"/>
  <c r="Q764" i="12"/>
  <c r="R763" i="12"/>
  <c r="Q763" i="12"/>
  <c r="Q762" i="12"/>
  <c r="R762" i="12" s="1"/>
  <c r="Q761" i="12"/>
  <c r="R761" i="12" s="1"/>
  <c r="R760" i="12"/>
  <c r="Q760" i="12"/>
  <c r="R759" i="12"/>
  <c r="Q759" i="12"/>
  <c r="Q758" i="12"/>
  <c r="R758" i="12" s="1"/>
  <c r="R757" i="12"/>
  <c r="Q757" i="12"/>
  <c r="Q756" i="12"/>
  <c r="R756" i="12" s="1"/>
  <c r="R755" i="12"/>
  <c r="Q755" i="12"/>
  <c r="R754" i="12"/>
  <c r="Q754" i="12"/>
  <c r="Q753" i="12"/>
  <c r="R753" i="12" s="1"/>
  <c r="Q752" i="12"/>
  <c r="R752" i="12" s="1"/>
  <c r="R751" i="12"/>
  <c r="Q751" i="12"/>
  <c r="Q750" i="12"/>
  <c r="R750" i="12" s="1"/>
  <c r="R749" i="12"/>
  <c r="Q749" i="12"/>
  <c r="Q748" i="12"/>
  <c r="R748" i="12" s="1"/>
  <c r="R747" i="12"/>
  <c r="Q747" i="12"/>
  <c r="R746" i="12"/>
  <c r="Q746" i="12"/>
  <c r="Q745" i="12"/>
  <c r="R745" i="12" s="1"/>
  <c r="Q744" i="12"/>
  <c r="R744" i="12" s="1"/>
  <c r="R743" i="12"/>
  <c r="Q743" i="12"/>
  <c r="Q742" i="12"/>
  <c r="R742" i="12" s="1"/>
  <c r="R741" i="12"/>
  <c r="Q741" i="12"/>
  <c r="Q740" i="12"/>
  <c r="R740" i="12" s="1"/>
  <c r="R739" i="12"/>
  <c r="Q739" i="12"/>
  <c r="R738" i="12"/>
  <c r="Q738" i="12"/>
  <c r="Q737" i="12"/>
  <c r="R737" i="12" s="1"/>
  <c r="Q736" i="12"/>
  <c r="R736" i="12" s="1"/>
  <c r="R735" i="12"/>
  <c r="Q735" i="12"/>
  <c r="Q734" i="12"/>
  <c r="R734" i="12" s="1"/>
  <c r="R733" i="12"/>
  <c r="Q733" i="12"/>
  <c r="Q732" i="12"/>
  <c r="R732" i="12" s="1"/>
  <c r="R731" i="12"/>
  <c r="Q731" i="12"/>
  <c r="R730" i="12"/>
  <c r="Q730" i="12"/>
  <c r="Q729" i="12"/>
  <c r="R729" i="12" s="1"/>
  <c r="Q728" i="12"/>
  <c r="R728" i="12" s="1"/>
  <c r="R727" i="12"/>
  <c r="Q727" i="12"/>
  <c r="Q726" i="12"/>
  <c r="R726" i="12" s="1"/>
  <c r="R725" i="12"/>
  <c r="Q725" i="12"/>
  <c r="Q724" i="12"/>
  <c r="R724" i="12" s="1"/>
  <c r="R723" i="12"/>
  <c r="Q723" i="12"/>
  <c r="R722" i="12"/>
  <c r="Q722" i="12"/>
  <c r="Q721" i="12"/>
  <c r="R721" i="12" s="1"/>
  <c r="Q720" i="12"/>
  <c r="R720" i="12" s="1"/>
  <c r="R719" i="12"/>
  <c r="Q719" i="12"/>
  <c r="Q718" i="12"/>
  <c r="R718" i="12" s="1"/>
  <c r="R717" i="12"/>
  <c r="Q717" i="12"/>
  <c r="Q716" i="12"/>
  <c r="R716" i="12" s="1"/>
  <c r="R715" i="12"/>
  <c r="Q715" i="12"/>
  <c r="R714" i="12"/>
  <c r="Q714" i="12"/>
  <c r="Q713" i="12"/>
  <c r="R713" i="12" s="1"/>
  <c r="Q712" i="12"/>
  <c r="R712" i="12" s="1"/>
  <c r="R711" i="12"/>
  <c r="Q711" i="12"/>
  <c r="Q710" i="12"/>
  <c r="R710" i="12" s="1"/>
  <c r="R709" i="12"/>
  <c r="Q709" i="12"/>
  <c r="Q708" i="12"/>
  <c r="R708" i="12" s="1"/>
  <c r="R707" i="12"/>
  <c r="Q707" i="12"/>
  <c r="R706" i="12"/>
  <c r="Q706" i="12"/>
  <c r="Q705" i="12"/>
  <c r="R705" i="12" s="1"/>
  <c r="Q704" i="12"/>
  <c r="R704" i="12" s="1"/>
  <c r="R703" i="12"/>
  <c r="Q703" i="12"/>
  <c r="Q702" i="12"/>
  <c r="R702" i="12" s="1"/>
  <c r="R701" i="12"/>
  <c r="Q701" i="12"/>
  <c r="Q700" i="12"/>
  <c r="R700" i="12" s="1"/>
  <c r="R699" i="12"/>
  <c r="Q699" i="12"/>
  <c r="R698" i="12"/>
  <c r="Q698" i="12"/>
  <c r="Q697" i="12"/>
  <c r="R697" i="12" s="1"/>
  <c r="Q696" i="12"/>
  <c r="R696" i="12" s="1"/>
  <c r="R695" i="12"/>
  <c r="Q695" i="12"/>
  <c r="Q694" i="12"/>
  <c r="R694" i="12" s="1"/>
  <c r="R693" i="12"/>
  <c r="Q693" i="12"/>
  <c r="Q692" i="12"/>
  <c r="R692" i="12" s="1"/>
  <c r="R691" i="12"/>
  <c r="Q691" i="12"/>
  <c r="R690" i="12"/>
  <c r="Q690" i="12"/>
  <c r="Q689" i="12"/>
  <c r="R689" i="12" s="1"/>
  <c r="Q688" i="12"/>
  <c r="R688" i="12" s="1"/>
  <c r="R687" i="12"/>
  <c r="Q687" i="12"/>
  <c r="Q686" i="12"/>
  <c r="R686" i="12" s="1"/>
  <c r="R685" i="12"/>
  <c r="Q685" i="12"/>
  <c r="Q684" i="12"/>
  <c r="R684" i="12" s="1"/>
  <c r="R683" i="12"/>
  <c r="Q683" i="12"/>
  <c r="R682" i="12"/>
  <c r="Q682" i="12"/>
  <c r="Q681" i="12"/>
  <c r="R681" i="12" s="1"/>
  <c r="Q680" i="12"/>
  <c r="R680" i="12" s="1"/>
  <c r="R679" i="12"/>
  <c r="Q679" i="12"/>
  <c r="Q678" i="12"/>
  <c r="R678" i="12" s="1"/>
  <c r="R677" i="12"/>
  <c r="Q677" i="12"/>
  <c r="Q676" i="12"/>
  <c r="R676" i="12" s="1"/>
  <c r="R675" i="12"/>
  <c r="Q675" i="12"/>
  <c r="R674" i="12"/>
  <c r="Q674" i="12"/>
  <c r="Q673" i="12"/>
  <c r="R673" i="12" s="1"/>
  <c r="Q672" i="12"/>
  <c r="R672" i="12" s="1"/>
  <c r="R671" i="12"/>
  <c r="Q671" i="12"/>
  <c r="Q670" i="12"/>
  <c r="R670" i="12" s="1"/>
  <c r="R669" i="12"/>
  <c r="Q669" i="12"/>
  <c r="Q668" i="12"/>
  <c r="R668" i="12" s="1"/>
  <c r="R667" i="12"/>
  <c r="Q667" i="12"/>
  <c r="R666" i="12"/>
  <c r="Q666" i="12"/>
  <c r="Q665" i="12"/>
  <c r="R665" i="12" s="1"/>
  <c r="Q664" i="12"/>
  <c r="R664" i="12" s="1"/>
  <c r="R663" i="12"/>
  <c r="Q663" i="12"/>
  <c r="Q662" i="12"/>
  <c r="R662" i="12" s="1"/>
  <c r="R661" i="12"/>
  <c r="Q661" i="12"/>
  <c r="Q660" i="12"/>
  <c r="R660" i="12" s="1"/>
  <c r="R659" i="12"/>
  <c r="Q659" i="12"/>
  <c r="R658" i="12"/>
  <c r="Q658" i="12"/>
  <c r="Q657" i="12"/>
  <c r="R657" i="12" s="1"/>
  <c r="Q656" i="12"/>
  <c r="R656" i="12" s="1"/>
  <c r="R655" i="12"/>
  <c r="Q655" i="12"/>
  <c r="Q654" i="12"/>
  <c r="R654" i="12" s="1"/>
  <c r="R653" i="12"/>
  <c r="Q653" i="12"/>
  <c r="Q652" i="12"/>
  <c r="R652" i="12" s="1"/>
  <c r="R651" i="12"/>
  <c r="Q651" i="12"/>
  <c r="R650" i="12"/>
  <c r="Q650" i="12"/>
  <c r="Q649" i="12"/>
  <c r="R649" i="12" s="1"/>
  <c r="Q648" i="12"/>
  <c r="R648" i="12" s="1"/>
  <c r="R647" i="12"/>
  <c r="Q647" i="12"/>
  <c r="Q646" i="12"/>
  <c r="R646" i="12" s="1"/>
  <c r="R645" i="12"/>
  <c r="Q645" i="12"/>
  <c r="Q644" i="12"/>
  <c r="R644" i="12" s="1"/>
  <c r="R643" i="12"/>
  <c r="Q643" i="12"/>
  <c r="R642" i="12"/>
  <c r="Q642" i="12"/>
  <c r="Q641" i="12"/>
  <c r="R641" i="12" s="1"/>
  <c r="Q640" i="12"/>
  <c r="R640" i="12" s="1"/>
  <c r="R639" i="12"/>
  <c r="Q639" i="12"/>
  <c r="Q638" i="12"/>
  <c r="R638" i="12" s="1"/>
  <c r="R637" i="12"/>
  <c r="Q637" i="12"/>
  <c r="Q636" i="12"/>
  <c r="R636" i="12" s="1"/>
  <c r="R635" i="12"/>
  <c r="Q635" i="12"/>
  <c r="R634" i="12"/>
  <c r="Q634" i="12"/>
  <c r="Q633" i="12"/>
  <c r="R633" i="12" s="1"/>
  <c r="Q632" i="12"/>
  <c r="R632" i="12" s="1"/>
  <c r="R631" i="12"/>
  <c r="Q631" i="12"/>
  <c r="Q630" i="12"/>
  <c r="R630" i="12" s="1"/>
  <c r="R629" i="12"/>
  <c r="Q629" i="12"/>
  <c r="Q628" i="12"/>
  <c r="R628" i="12" s="1"/>
  <c r="R627" i="12"/>
  <c r="Q627" i="12"/>
  <c r="R626" i="12"/>
  <c r="Q626" i="12"/>
  <c r="Q625" i="12"/>
  <c r="R625" i="12" s="1"/>
  <c r="Q624" i="12"/>
  <c r="R624" i="12" s="1"/>
  <c r="R623" i="12"/>
  <c r="Q623" i="12"/>
  <c r="Q622" i="12"/>
  <c r="R622" i="12" s="1"/>
  <c r="R621" i="12"/>
  <c r="Q621" i="12"/>
  <c r="Q620" i="12"/>
  <c r="R620" i="12" s="1"/>
  <c r="R619" i="12"/>
  <c r="Q619" i="12"/>
  <c r="R618" i="12"/>
  <c r="Q618" i="12"/>
  <c r="Q617" i="12"/>
  <c r="R617" i="12" s="1"/>
  <c r="Q616" i="12"/>
  <c r="R616" i="12" s="1"/>
  <c r="R615" i="12"/>
  <c r="Q615" i="12"/>
  <c r="Q614" i="12"/>
  <c r="R614" i="12" s="1"/>
  <c r="R613" i="12"/>
  <c r="Q613" i="12"/>
  <c r="Q612" i="12"/>
  <c r="R612" i="12" s="1"/>
  <c r="R611" i="12"/>
  <c r="Q611" i="12"/>
  <c r="R610" i="12"/>
  <c r="Q610" i="12"/>
  <c r="Q609" i="12"/>
  <c r="R609" i="12" s="1"/>
  <c r="Q608" i="12"/>
  <c r="R608" i="12" s="1"/>
  <c r="R607" i="12"/>
  <c r="Q607" i="12"/>
  <c r="Q606" i="12"/>
  <c r="R606" i="12" s="1"/>
  <c r="R605" i="12"/>
  <c r="Q605" i="12"/>
  <c r="Q604" i="12"/>
  <c r="R604" i="12" s="1"/>
  <c r="R603" i="12"/>
  <c r="Q603" i="12"/>
  <c r="R602" i="12"/>
  <c r="Q602" i="12"/>
  <c r="Q601" i="12"/>
  <c r="R601" i="12" s="1"/>
  <c r="Q600" i="12"/>
  <c r="R600" i="12" s="1"/>
  <c r="R599" i="12"/>
  <c r="Q599" i="12"/>
  <c r="Q598" i="12"/>
  <c r="R598" i="12" s="1"/>
  <c r="R597" i="12"/>
  <c r="Q597" i="12"/>
  <c r="Q596" i="12"/>
  <c r="R596" i="12" s="1"/>
  <c r="R595" i="12"/>
  <c r="Q595" i="12"/>
  <c r="R594" i="12"/>
  <c r="Q594" i="12"/>
  <c r="Q593" i="12"/>
  <c r="R593" i="12" s="1"/>
  <c r="Q592" i="12"/>
  <c r="R592" i="12" s="1"/>
  <c r="R591" i="12"/>
  <c r="Q591" i="12"/>
  <c r="Q590" i="12"/>
  <c r="R590" i="12" s="1"/>
  <c r="R589" i="12"/>
  <c r="Q589" i="12"/>
  <c r="Q588" i="12"/>
  <c r="R588" i="12" s="1"/>
  <c r="R587" i="12"/>
  <c r="Q587" i="12"/>
  <c r="R586" i="12"/>
  <c r="Q586" i="12"/>
  <c r="Q585" i="12"/>
  <c r="R585" i="12" s="1"/>
  <c r="Q584" i="12"/>
  <c r="R584" i="12" s="1"/>
  <c r="R583" i="12"/>
  <c r="Q583" i="12"/>
  <c r="Q582" i="12"/>
  <c r="R582" i="12" s="1"/>
  <c r="R581" i="12"/>
  <c r="Q581" i="12"/>
  <c r="Q580" i="12"/>
  <c r="R580" i="12" s="1"/>
  <c r="R579" i="12"/>
  <c r="Q579" i="12"/>
  <c r="R578" i="12"/>
  <c r="Q578" i="12"/>
  <c r="Q577" i="12"/>
  <c r="R577" i="12" s="1"/>
  <c r="Q576" i="12"/>
  <c r="R576" i="12" s="1"/>
  <c r="R575" i="12"/>
  <c r="Q575" i="12"/>
  <c r="Q574" i="12"/>
  <c r="R574" i="12" s="1"/>
  <c r="R573" i="12"/>
  <c r="Q573" i="12"/>
  <c r="Q572" i="12"/>
  <c r="R572" i="12" s="1"/>
  <c r="R571" i="12"/>
  <c r="Q571" i="12"/>
  <c r="R570" i="12"/>
  <c r="Q570" i="12"/>
  <c r="Q569" i="12"/>
  <c r="R569" i="12" s="1"/>
  <c r="Q568" i="12"/>
  <c r="R568" i="12" s="1"/>
  <c r="R567" i="12"/>
  <c r="Q567" i="12"/>
  <c r="Q566" i="12"/>
  <c r="R566" i="12" s="1"/>
  <c r="R565" i="12"/>
  <c r="Q565" i="12"/>
  <c r="Q564" i="12"/>
  <c r="R564" i="12" s="1"/>
  <c r="R563" i="12"/>
  <c r="Q563" i="12"/>
  <c r="R562" i="12"/>
  <c r="Q562" i="12"/>
  <c r="Q561" i="12"/>
  <c r="R561" i="12" s="1"/>
  <c r="Q560" i="12"/>
  <c r="R560" i="12" s="1"/>
  <c r="R559" i="12"/>
  <c r="Q559" i="12"/>
  <c r="Q558" i="12"/>
  <c r="R558" i="12" s="1"/>
  <c r="R557" i="12"/>
  <c r="Q557" i="12"/>
  <c r="Q556" i="12"/>
  <c r="R556" i="12" s="1"/>
  <c r="R555" i="12"/>
  <c r="Q555" i="12"/>
  <c r="R554" i="12"/>
  <c r="Q554" i="12"/>
  <c r="Q553" i="12"/>
  <c r="R553" i="12" s="1"/>
  <c r="Q552" i="12"/>
  <c r="R552" i="12" s="1"/>
  <c r="R551" i="12"/>
  <c r="Q551" i="12"/>
  <c r="Q550" i="12"/>
  <c r="R550" i="12" s="1"/>
  <c r="R549" i="12"/>
  <c r="Q549" i="12"/>
  <c r="Q548" i="12"/>
  <c r="R548" i="12" s="1"/>
  <c r="R547" i="12"/>
  <c r="Q547" i="12"/>
  <c r="R546" i="12"/>
  <c r="Q546" i="12"/>
  <c r="Q545" i="12"/>
  <c r="R545" i="12" s="1"/>
  <c r="Q544" i="12"/>
  <c r="R544" i="12" s="1"/>
  <c r="R543" i="12"/>
  <c r="Q543" i="12"/>
  <c r="Q542" i="12"/>
  <c r="R542" i="12" s="1"/>
  <c r="R541" i="12"/>
  <c r="Q541" i="12"/>
  <c r="Q540" i="12"/>
  <c r="R540" i="12" s="1"/>
  <c r="R539" i="12"/>
  <c r="Q539" i="12"/>
  <c r="R538" i="12"/>
  <c r="Q538" i="12"/>
  <c r="Q537" i="12"/>
  <c r="R537" i="12" s="1"/>
  <c r="Q536" i="12"/>
  <c r="R536" i="12" s="1"/>
  <c r="R535" i="12"/>
  <c r="Q535" i="12"/>
  <c r="Q534" i="12"/>
  <c r="R534" i="12" s="1"/>
  <c r="R533" i="12"/>
  <c r="Q533" i="12"/>
  <c r="Q532" i="12"/>
  <c r="R532" i="12" s="1"/>
  <c r="R531" i="12"/>
  <c r="Q531" i="12"/>
  <c r="R530" i="12"/>
  <c r="Q530" i="12"/>
  <c r="Q529" i="12"/>
  <c r="R529" i="12" s="1"/>
  <c r="Q528" i="12"/>
  <c r="R528" i="12" s="1"/>
  <c r="R527" i="12"/>
  <c r="Q527" i="12"/>
  <c r="Q526" i="12"/>
  <c r="R526" i="12" s="1"/>
  <c r="Q525" i="12"/>
  <c r="R525" i="12" s="1"/>
  <c r="Q524" i="12"/>
  <c r="R524" i="12" s="1"/>
  <c r="R523" i="12"/>
  <c r="Q523" i="12"/>
  <c r="R522" i="12"/>
  <c r="Q522" i="12"/>
  <c r="Q521" i="12"/>
  <c r="R521" i="12" s="1"/>
  <c r="Q520" i="12"/>
  <c r="R520" i="12" s="1"/>
  <c r="R519" i="12"/>
  <c r="Q519" i="12"/>
  <c r="Q518" i="12"/>
  <c r="R518" i="12" s="1"/>
  <c r="R517" i="12"/>
  <c r="Q517" i="12"/>
  <c r="Q516" i="12"/>
  <c r="R516" i="12" s="1"/>
  <c r="R515" i="12"/>
  <c r="Q515" i="12"/>
  <c r="R514" i="12"/>
  <c r="Q514" i="12"/>
  <c r="Q513" i="12"/>
  <c r="R513" i="12" s="1"/>
  <c r="Q512" i="12"/>
  <c r="R512" i="12" s="1"/>
  <c r="R511" i="12"/>
  <c r="Q511" i="12"/>
  <c r="Q510" i="12"/>
  <c r="R510" i="12" s="1"/>
  <c r="R509" i="12"/>
  <c r="Q509" i="12"/>
  <c r="Q508" i="12"/>
  <c r="R508" i="12" s="1"/>
  <c r="R507" i="12"/>
  <c r="Q507" i="12"/>
  <c r="R506" i="12"/>
  <c r="Q506" i="12"/>
  <c r="Q505" i="12"/>
  <c r="R505" i="12" s="1"/>
  <c r="Q504" i="12"/>
  <c r="R504" i="12" s="1"/>
  <c r="R503" i="12"/>
  <c r="Q503" i="12"/>
  <c r="R502" i="12"/>
  <c r="Q502" i="12"/>
  <c r="Q501" i="12"/>
  <c r="R501" i="12" s="1"/>
  <c r="Q500" i="12"/>
  <c r="R500" i="12" s="1"/>
  <c r="R499" i="12"/>
  <c r="Q499" i="12"/>
  <c r="R498" i="12"/>
  <c r="Q498" i="12"/>
  <c r="R497" i="12"/>
  <c r="Q497" i="12"/>
  <c r="Q496" i="12"/>
  <c r="R496" i="12" s="1"/>
  <c r="R495" i="12"/>
  <c r="Q495" i="12"/>
  <c r="R494" i="12"/>
  <c r="Q494" i="12"/>
  <c r="Q493" i="12"/>
  <c r="R493" i="12" s="1"/>
  <c r="Q492" i="12"/>
  <c r="R492" i="12" s="1"/>
  <c r="R491" i="12"/>
  <c r="Q491" i="12"/>
  <c r="R490" i="12"/>
  <c r="Q490" i="12"/>
  <c r="Q489" i="12"/>
  <c r="R489" i="12" s="1"/>
  <c r="Q488" i="12"/>
  <c r="R488" i="12" s="1"/>
  <c r="R487" i="12"/>
  <c r="Q487" i="12"/>
  <c r="Q486" i="12"/>
  <c r="R486" i="12" s="1"/>
  <c r="Q485" i="12"/>
  <c r="R485" i="12" s="1"/>
  <c r="Q484" i="12"/>
  <c r="R484" i="12" s="1"/>
  <c r="R483" i="12"/>
  <c r="Q483" i="12"/>
  <c r="R482" i="12"/>
  <c r="Q482" i="12"/>
  <c r="R481" i="12"/>
  <c r="Q481" i="12"/>
  <c r="Q480" i="12"/>
  <c r="R480" i="12" s="1"/>
  <c r="R479" i="12"/>
  <c r="Q479" i="12"/>
  <c r="R478" i="12"/>
  <c r="Q478" i="12"/>
  <c r="R477" i="12"/>
  <c r="Q477" i="12"/>
  <c r="Q476" i="12"/>
  <c r="R476" i="12" s="1"/>
  <c r="R475" i="12"/>
  <c r="Q475" i="12"/>
  <c r="R474" i="12"/>
  <c r="Q474" i="12"/>
  <c r="R473" i="12"/>
  <c r="Q473" i="12"/>
  <c r="Q472" i="12"/>
  <c r="R472" i="12" s="1"/>
  <c r="R471" i="12"/>
  <c r="Q471" i="12"/>
  <c r="R470" i="12"/>
  <c r="Q470" i="12"/>
  <c r="Q469" i="12"/>
  <c r="R469" i="12" s="1"/>
  <c r="Q468" i="12"/>
  <c r="R468" i="12" s="1"/>
  <c r="R467" i="12"/>
  <c r="Q467" i="12"/>
  <c r="R466" i="12"/>
  <c r="Q466" i="12"/>
  <c r="R465" i="12"/>
  <c r="Q465" i="12"/>
  <c r="Q464" i="12"/>
  <c r="R464" i="12" s="1"/>
  <c r="R463" i="12"/>
  <c r="Q463" i="12"/>
  <c r="Q462" i="12"/>
  <c r="R462" i="12" s="1"/>
  <c r="Q461" i="12"/>
  <c r="R461" i="12" s="1"/>
  <c r="Q460" i="12"/>
  <c r="R460" i="12" s="1"/>
  <c r="Q459" i="12"/>
  <c r="R459" i="12" s="1"/>
  <c r="Q458" i="12"/>
  <c r="R458" i="12" s="1"/>
  <c r="Q457" i="12"/>
  <c r="R457" i="12" s="1"/>
  <c r="Q456" i="12"/>
  <c r="R456" i="12" s="1"/>
  <c r="R455" i="12"/>
  <c r="Q455" i="12"/>
  <c r="Q454" i="12"/>
  <c r="R454" i="12" s="1"/>
  <c r="R453" i="12"/>
  <c r="Q453" i="12"/>
  <c r="Q452" i="12"/>
  <c r="R452" i="12" s="1"/>
  <c r="Q451" i="12"/>
  <c r="R451" i="12" s="1"/>
  <c r="R450" i="12"/>
  <c r="Q450" i="12"/>
  <c r="R449" i="12"/>
  <c r="Q449" i="12"/>
  <c r="R448" i="12"/>
  <c r="Q448" i="12"/>
  <c r="Q447" i="12"/>
  <c r="R447" i="12" s="1"/>
  <c r="Q446" i="12"/>
  <c r="R446" i="12" s="1"/>
  <c r="Q445" i="12"/>
  <c r="R445" i="12" s="1"/>
  <c r="Q444" i="12"/>
  <c r="R444" i="12" s="1"/>
  <c r="Q443" i="12"/>
  <c r="R443" i="12" s="1"/>
  <c r="R442" i="12"/>
  <c r="Q442" i="12"/>
  <c r="R441" i="12"/>
  <c r="Q441" i="12"/>
  <c r="R440" i="12"/>
  <c r="Q440" i="12"/>
  <c r="Q439" i="12"/>
  <c r="R439" i="12" s="1"/>
  <c r="Q438" i="12"/>
  <c r="R438" i="12" s="1"/>
  <c r="Q437" i="12"/>
  <c r="R437" i="12" s="1"/>
  <c r="Q436" i="12"/>
  <c r="R436" i="12" s="1"/>
  <c r="Q435" i="12"/>
  <c r="R435" i="12" s="1"/>
  <c r="R434" i="12"/>
  <c r="Q434" i="12"/>
  <c r="R433" i="12"/>
  <c r="Q433" i="12"/>
  <c r="R432" i="12"/>
  <c r="Q432" i="12"/>
  <c r="Q431" i="12"/>
  <c r="R431" i="12" s="1"/>
  <c r="Q430" i="12"/>
  <c r="R430" i="12" s="1"/>
  <c r="Q429" i="12"/>
  <c r="R429" i="12" s="1"/>
  <c r="Q428" i="12"/>
  <c r="R428" i="12" s="1"/>
  <c r="Q427" i="12"/>
  <c r="R427" i="12" s="1"/>
  <c r="R426" i="12"/>
  <c r="Q426" i="12"/>
  <c r="R425" i="12"/>
  <c r="Q425" i="12"/>
  <c r="R424" i="12"/>
  <c r="Q424" i="12"/>
  <c r="Q423" i="12"/>
  <c r="R423" i="12" s="1"/>
  <c r="Q422" i="12"/>
  <c r="R422" i="12" s="1"/>
  <c r="Q421" i="12"/>
  <c r="R421" i="12" s="1"/>
  <c r="Q420" i="12"/>
  <c r="R420" i="12" s="1"/>
  <c r="Q419" i="12"/>
  <c r="R419" i="12" s="1"/>
  <c r="R418" i="12"/>
  <c r="Q418" i="12"/>
  <c r="R417" i="12"/>
  <c r="Q417" i="12"/>
  <c r="R416" i="12"/>
  <c r="Q416" i="12"/>
  <c r="Q415" i="12"/>
  <c r="R415" i="12" s="1"/>
  <c r="Q414" i="12"/>
  <c r="R414" i="12" s="1"/>
  <c r="Q413" i="12"/>
  <c r="R413" i="12" s="1"/>
  <c r="Q412" i="12"/>
  <c r="R412" i="12" s="1"/>
  <c r="Q411" i="12"/>
  <c r="R411" i="12" s="1"/>
  <c r="R410" i="12"/>
  <c r="Q410" i="12"/>
  <c r="R409" i="12"/>
  <c r="Q409" i="12"/>
  <c r="R408" i="12"/>
  <c r="Q408" i="12"/>
  <c r="Q407" i="12"/>
  <c r="R407" i="12" s="1"/>
  <c r="Q406" i="12"/>
  <c r="R406" i="12" s="1"/>
  <c r="Q405" i="12"/>
  <c r="R405" i="12" s="1"/>
  <c r="Q404" i="12"/>
  <c r="R404" i="12" s="1"/>
  <c r="Q403" i="12"/>
  <c r="R403" i="12" s="1"/>
  <c r="R402" i="12"/>
  <c r="Q402" i="12"/>
  <c r="R401" i="12"/>
  <c r="Q401" i="12"/>
  <c r="R400" i="12"/>
  <c r="Q400" i="12"/>
  <c r="Q399" i="12"/>
  <c r="R399" i="12" s="1"/>
  <c r="Q398" i="12"/>
  <c r="R398" i="12" s="1"/>
  <c r="Q397" i="12"/>
  <c r="R397" i="12" s="1"/>
  <c r="R396" i="12"/>
  <c r="Q396" i="12"/>
  <c r="Q395" i="12"/>
  <c r="R395" i="12" s="1"/>
  <c r="R394" i="12"/>
  <c r="Q394" i="12"/>
  <c r="R393" i="12"/>
  <c r="Q393" i="12"/>
  <c r="R392" i="12"/>
  <c r="Q392" i="12"/>
  <c r="Q391" i="12"/>
  <c r="R391" i="12" s="1"/>
  <c r="Q390" i="12"/>
  <c r="R390" i="12" s="1"/>
  <c r="Q389" i="12"/>
  <c r="R389" i="12" s="1"/>
  <c r="R388" i="12"/>
  <c r="Q388" i="12"/>
  <c r="Q387" i="12"/>
  <c r="R387" i="12" s="1"/>
  <c r="R386" i="12"/>
  <c r="Q386" i="12"/>
  <c r="R385" i="12"/>
  <c r="Q385" i="12"/>
  <c r="R384" i="12"/>
  <c r="Q384" i="12"/>
  <c r="Q383" i="12"/>
  <c r="R383" i="12" s="1"/>
  <c r="Q382" i="12"/>
  <c r="R382" i="12" s="1"/>
  <c r="Q381" i="12"/>
  <c r="R381" i="12" s="1"/>
  <c r="R380" i="12"/>
  <c r="Q380" i="12"/>
  <c r="Q379" i="12"/>
  <c r="R379" i="12" s="1"/>
  <c r="R378" i="12"/>
  <c r="Q378" i="12"/>
  <c r="R377" i="12"/>
  <c r="Q377" i="12"/>
  <c r="R376" i="12"/>
  <c r="Q376" i="12"/>
  <c r="Q375" i="12"/>
  <c r="R375" i="12" s="1"/>
  <c r="Q374" i="12"/>
  <c r="R374" i="12" s="1"/>
  <c r="Q373" i="12"/>
  <c r="R373" i="12" s="1"/>
  <c r="R372" i="12"/>
  <c r="Q372" i="12"/>
  <c r="Q371" i="12"/>
  <c r="R371" i="12" s="1"/>
  <c r="R370" i="12"/>
  <c r="Q370" i="12"/>
  <c r="R369" i="12"/>
  <c r="Q369" i="12"/>
  <c r="R368" i="12"/>
  <c r="Q368" i="12"/>
  <c r="Q367" i="12"/>
  <c r="R367" i="12" s="1"/>
  <c r="Q366" i="12"/>
  <c r="R366" i="12" s="1"/>
  <c r="Q365" i="12"/>
  <c r="R365" i="12" s="1"/>
  <c r="R364" i="12"/>
  <c r="Q364" i="12"/>
  <c r="Q363" i="12"/>
  <c r="R363" i="12" s="1"/>
  <c r="R362" i="12"/>
  <c r="Q362" i="12"/>
  <c r="R361" i="12"/>
  <c r="Q361" i="12"/>
  <c r="R360" i="12"/>
  <c r="Q360" i="12"/>
  <c r="Q359" i="12"/>
  <c r="R359" i="12" s="1"/>
  <c r="Q358" i="12"/>
  <c r="R358" i="12" s="1"/>
  <c r="Q357" i="12"/>
  <c r="R357" i="12" s="1"/>
  <c r="R356" i="12"/>
  <c r="Q356" i="12"/>
  <c r="Q355" i="12"/>
  <c r="R355" i="12" s="1"/>
  <c r="R354" i="12"/>
  <c r="Q354" i="12"/>
  <c r="R353" i="12"/>
  <c r="Q353" i="12"/>
  <c r="R352" i="12"/>
  <c r="Q352" i="12"/>
  <c r="Q351" i="12"/>
  <c r="R351" i="12" s="1"/>
  <c r="Q350" i="12"/>
  <c r="R350" i="12" s="1"/>
  <c r="Q349" i="12"/>
  <c r="R349" i="12" s="1"/>
  <c r="R348" i="12"/>
  <c r="Q348" i="12"/>
  <c r="Q347" i="12"/>
  <c r="R347" i="12" s="1"/>
  <c r="R346" i="12"/>
  <c r="Q346" i="12"/>
  <c r="R345" i="12"/>
  <c r="Q345" i="12"/>
  <c r="R344" i="12"/>
  <c r="Q344" i="12"/>
  <c r="Q343" i="12"/>
  <c r="R343" i="12" s="1"/>
  <c r="Q342" i="12"/>
  <c r="R342" i="12" s="1"/>
  <c r="Q341" i="12"/>
  <c r="R341" i="12" s="1"/>
  <c r="R340" i="12"/>
  <c r="Q340" i="12"/>
  <c r="Q339" i="12"/>
  <c r="R339" i="12" s="1"/>
  <c r="R338" i="12"/>
  <c r="Q338" i="12"/>
  <c r="R337" i="12"/>
  <c r="Q337" i="12"/>
  <c r="R336" i="12"/>
  <c r="Q336" i="12"/>
  <c r="Q335" i="12"/>
  <c r="R335" i="12" s="1"/>
  <c r="Q334" i="12"/>
  <c r="R334" i="12" s="1"/>
  <c r="Q333" i="12"/>
  <c r="R333" i="12" s="1"/>
  <c r="R332" i="12"/>
  <c r="Q332" i="12"/>
  <c r="Q331" i="12"/>
  <c r="R331" i="12" s="1"/>
  <c r="R330" i="12"/>
  <c r="Q330" i="12"/>
  <c r="R329" i="12"/>
  <c r="Q329" i="12"/>
  <c r="R328" i="12"/>
  <c r="Q328" i="12"/>
  <c r="Q327" i="12"/>
  <c r="R327" i="12" s="1"/>
  <c r="Q326" i="12"/>
  <c r="R326" i="12" s="1"/>
  <c r="Q325" i="12"/>
  <c r="R325" i="12" s="1"/>
  <c r="R324" i="12"/>
  <c r="Q324" i="12"/>
  <c r="Q323" i="12"/>
  <c r="R323" i="12" s="1"/>
  <c r="R322" i="12"/>
  <c r="Q322" i="12"/>
  <c r="R321" i="12"/>
  <c r="Q321" i="12"/>
  <c r="R320" i="12"/>
  <c r="Q320" i="12"/>
  <c r="Q319" i="12"/>
  <c r="R319" i="12" s="1"/>
  <c r="Q318" i="12"/>
  <c r="R318" i="12" s="1"/>
  <c r="Q317" i="12"/>
  <c r="R317" i="12" s="1"/>
  <c r="R316" i="12"/>
  <c r="Q316" i="12"/>
  <c r="Q315" i="12"/>
  <c r="R315" i="12" s="1"/>
  <c r="R314" i="12"/>
  <c r="Q314" i="12"/>
  <c r="R313" i="12"/>
  <c r="Q313" i="12"/>
  <c r="R312" i="12"/>
  <c r="Q312" i="12"/>
  <c r="Q311" i="12"/>
  <c r="R311" i="12" s="1"/>
  <c r="Q310" i="12"/>
  <c r="R310" i="12" s="1"/>
  <c r="Q309" i="12"/>
  <c r="R309" i="12" s="1"/>
  <c r="R308" i="12"/>
  <c r="Q308" i="12"/>
  <c r="Q307" i="12"/>
  <c r="R307" i="12" s="1"/>
  <c r="R306" i="12"/>
  <c r="Q306" i="12"/>
  <c r="R305" i="12"/>
  <c r="Q305" i="12"/>
  <c r="R304" i="12"/>
  <c r="Q304" i="12"/>
  <c r="Q303" i="12"/>
  <c r="R303" i="12" s="1"/>
  <c r="Q302" i="12"/>
  <c r="R302" i="12" s="1"/>
  <c r="Q301" i="12"/>
  <c r="R301" i="12" s="1"/>
  <c r="R300" i="12"/>
  <c r="Q300" i="12"/>
  <c r="Q299" i="12"/>
  <c r="R299" i="12" s="1"/>
  <c r="R298" i="12"/>
  <c r="Q298" i="12"/>
  <c r="R297" i="12"/>
  <c r="Q297" i="12"/>
  <c r="R296" i="12"/>
  <c r="Q296" i="12"/>
  <c r="Q295" i="12"/>
  <c r="R295" i="12" s="1"/>
  <c r="Q294" i="12"/>
  <c r="R294" i="12" s="1"/>
  <c r="Q293" i="12"/>
  <c r="R293" i="12" s="1"/>
  <c r="R292" i="12"/>
  <c r="Q292" i="12"/>
  <c r="Q291" i="12"/>
  <c r="R291" i="12" s="1"/>
  <c r="R290" i="12"/>
  <c r="Q290" i="12"/>
  <c r="R289" i="12"/>
  <c r="Q289" i="12"/>
  <c r="R288" i="12"/>
  <c r="Q288" i="12"/>
  <c r="Q287" i="12"/>
  <c r="R287" i="12" s="1"/>
  <c r="Q286" i="12"/>
  <c r="R286" i="12" s="1"/>
  <c r="Q285" i="12"/>
  <c r="R285" i="12" s="1"/>
  <c r="R284" i="12"/>
  <c r="Q284" i="12"/>
  <c r="Q283" i="12"/>
  <c r="R283" i="12" s="1"/>
  <c r="R282" i="12"/>
  <c r="Q282" i="12"/>
  <c r="R281" i="12"/>
  <c r="Q281" i="12"/>
  <c r="R280" i="12"/>
  <c r="Q280" i="12"/>
  <c r="Q279" i="12"/>
  <c r="R279" i="12" s="1"/>
  <c r="Q278" i="12"/>
  <c r="R278" i="12" s="1"/>
  <c r="Q277" i="12"/>
  <c r="R277" i="12" s="1"/>
  <c r="R276" i="12"/>
  <c r="Q276" i="12"/>
  <c r="Q275" i="12"/>
  <c r="R275" i="12" s="1"/>
  <c r="R274" i="12"/>
  <c r="Q274" i="12"/>
  <c r="R273" i="12"/>
  <c r="Q273" i="12"/>
  <c r="R272" i="12"/>
  <c r="Q272" i="12"/>
  <c r="Q271" i="12"/>
  <c r="R271" i="12" s="1"/>
  <c r="Q270" i="12"/>
  <c r="R270" i="12" s="1"/>
  <c r="Q269" i="12"/>
  <c r="R269" i="12" s="1"/>
  <c r="R268" i="12"/>
  <c r="Q268" i="12"/>
  <c r="Q267" i="12"/>
  <c r="R267" i="12" s="1"/>
  <c r="R266" i="12"/>
  <c r="Q266" i="12"/>
  <c r="R265" i="12"/>
  <c r="Q265" i="12"/>
  <c r="R264" i="12"/>
  <c r="Q264" i="12"/>
  <c r="Q263" i="12"/>
  <c r="R263" i="12" s="1"/>
  <c r="Q262" i="12"/>
  <c r="R262" i="12" s="1"/>
  <c r="Q261" i="12"/>
  <c r="R261" i="12" s="1"/>
  <c r="R260" i="12"/>
  <c r="Q260" i="12"/>
  <c r="Q259" i="12"/>
  <c r="R259" i="12" s="1"/>
  <c r="R258" i="12"/>
  <c r="Q258" i="12"/>
  <c r="R257" i="12"/>
  <c r="Q257" i="12"/>
  <c r="R256" i="12"/>
  <c r="Q256" i="12"/>
  <c r="Q255" i="12"/>
  <c r="R255" i="12" s="1"/>
  <c r="Q254" i="12"/>
  <c r="R254" i="12" s="1"/>
  <c r="Q253" i="12"/>
  <c r="R253" i="12" s="1"/>
  <c r="R252" i="12"/>
  <c r="Q252" i="12"/>
  <c r="Q251" i="12"/>
  <c r="R251" i="12" s="1"/>
  <c r="R250" i="12"/>
  <c r="Q250" i="12"/>
  <c r="R249" i="12"/>
  <c r="Q249" i="12"/>
  <c r="R248" i="12"/>
  <c r="Q248" i="12"/>
  <c r="Q247" i="12"/>
  <c r="R247" i="12" s="1"/>
  <c r="Q246" i="12"/>
  <c r="R246" i="12" s="1"/>
  <c r="Q245" i="12"/>
  <c r="R245" i="12" s="1"/>
  <c r="R244" i="12"/>
  <c r="Q244" i="12"/>
  <c r="Q243" i="12"/>
  <c r="R243" i="12" s="1"/>
  <c r="R242" i="12"/>
  <c r="Q242" i="12"/>
  <c r="R241" i="12"/>
  <c r="Q241" i="12"/>
  <c r="R240" i="12"/>
  <c r="Q240" i="12"/>
  <c r="Q239" i="12"/>
  <c r="R239" i="12" s="1"/>
  <c r="Q238" i="12"/>
  <c r="R238" i="12" s="1"/>
  <c r="Q237" i="12"/>
  <c r="R237" i="12" s="1"/>
  <c r="R236" i="12"/>
  <c r="Q236" i="12"/>
  <c r="Q235" i="12"/>
  <c r="R235" i="12" s="1"/>
  <c r="R234" i="12"/>
  <c r="Q234" i="12"/>
  <c r="R233" i="12"/>
  <c r="Q233" i="12"/>
  <c r="R232" i="12"/>
  <c r="Q232" i="12"/>
  <c r="Q231" i="12"/>
  <c r="R231" i="12" s="1"/>
  <c r="Q230" i="12"/>
  <c r="R230" i="12" s="1"/>
  <c r="Q229" i="12"/>
  <c r="R229" i="12" s="1"/>
  <c r="R228" i="12"/>
  <c r="Q228" i="12"/>
  <c r="Q227" i="12"/>
  <c r="R227" i="12" s="1"/>
  <c r="R226" i="12"/>
  <c r="Q226" i="12"/>
  <c r="R225" i="12"/>
  <c r="Q225" i="12"/>
  <c r="R224" i="12"/>
  <c r="Q224" i="12"/>
  <c r="Q223" i="12"/>
  <c r="R223" i="12" s="1"/>
  <c r="Q222" i="12"/>
  <c r="R222" i="12" s="1"/>
  <c r="Q221" i="12"/>
  <c r="R221" i="12" s="1"/>
  <c r="R220" i="12"/>
  <c r="Q220" i="12"/>
  <c r="Q219" i="12"/>
  <c r="R219" i="12" s="1"/>
  <c r="R218" i="12"/>
  <c r="Q218" i="12"/>
  <c r="R217" i="12"/>
  <c r="Q217" i="12"/>
  <c r="R216" i="12"/>
  <c r="Q216" i="12"/>
  <c r="Q215" i="12"/>
  <c r="R215" i="12" s="1"/>
  <c r="Q214" i="12"/>
  <c r="R214" i="12" s="1"/>
  <c r="Q213" i="12"/>
  <c r="R213" i="12" s="1"/>
  <c r="Q212" i="12"/>
  <c r="R212" i="12" s="1"/>
  <c r="Q211" i="12"/>
  <c r="R211" i="12" s="1"/>
  <c r="R210" i="12"/>
  <c r="Q210" i="12"/>
  <c r="R209" i="12"/>
  <c r="Q209" i="12"/>
  <c r="R208" i="12"/>
  <c r="Q208" i="12"/>
  <c r="Q207" i="12"/>
  <c r="R207" i="12" s="1"/>
  <c r="Q206" i="12"/>
  <c r="R206" i="12" s="1"/>
  <c r="Q205" i="12"/>
  <c r="R205" i="12" s="1"/>
  <c r="R204" i="12"/>
  <c r="Q204" i="12"/>
  <c r="Q203" i="12"/>
  <c r="R203" i="12" s="1"/>
  <c r="R202" i="12"/>
  <c r="Q202" i="12"/>
  <c r="R201" i="12"/>
  <c r="Q201" i="12"/>
  <c r="R200" i="12"/>
  <c r="Q200" i="12"/>
  <c r="Q199" i="12"/>
  <c r="R199" i="12" s="1"/>
  <c r="Q198" i="12"/>
  <c r="R198" i="12" s="1"/>
  <c r="Q197" i="12"/>
  <c r="R197" i="12" s="1"/>
  <c r="R196" i="12"/>
  <c r="Q196" i="12"/>
  <c r="Q195" i="12"/>
  <c r="R195" i="12" s="1"/>
  <c r="R194" i="12"/>
  <c r="Q194" i="12"/>
  <c r="R193" i="12"/>
  <c r="Q193" i="12"/>
  <c r="R192" i="12"/>
  <c r="Q192" i="12"/>
  <c r="Q191" i="12"/>
  <c r="R191" i="12" s="1"/>
  <c r="Q190" i="12"/>
  <c r="R190" i="12" s="1"/>
  <c r="Q189" i="12"/>
  <c r="R189" i="12" s="1"/>
  <c r="R188" i="12"/>
  <c r="Q188" i="12"/>
  <c r="Q187" i="12"/>
  <c r="R187" i="12" s="1"/>
  <c r="R186" i="12"/>
  <c r="Q186" i="12"/>
  <c r="R185" i="12"/>
  <c r="Q185" i="12"/>
  <c r="R184" i="12"/>
  <c r="Q184" i="12"/>
  <c r="Q183" i="12"/>
  <c r="R183" i="12" s="1"/>
  <c r="Q182" i="12"/>
  <c r="R182" i="12" s="1"/>
  <c r="Q181" i="12"/>
  <c r="R181" i="12" s="1"/>
  <c r="R180" i="12"/>
  <c r="Q180" i="12"/>
  <c r="Q179" i="12"/>
  <c r="R179" i="12" s="1"/>
  <c r="R178" i="12"/>
  <c r="Q178" i="12"/>
  <c r="R177" i="12"/>
  <c r="Q177" i="12"/>
  <c r="R176" i="12"/>
  <c r="Q176" i="12"/>
  <c r="Q175" i="12"/>
  <c r="R175" i="12" s="1"/>
  <c r="Q174" i="12"/>
  <c r="R174" i="12" s="1"/>
  <c r="Q173" i="12"/>
  <c r="R173" i="12" s="1"/>
  <c r="R172" i="12"/>
  <c r="Q172" i="12"/>
  <c r="Q171" i="12"/>
  <c r="R171" i="12" s="1"/>
  <c r="Q170" i="12"/>
  <c r="R170" i="12" s="1"/>
  <c r="R169" i="12"/>
  <c r="Q169" i="12"/>
  <c r="R168" i="12"/>
  <c r="Q168" i="12"/>
  <c r="Q167" i="12"/>
  <c r="R167" i="12" s="1"/>
  <c r="Q166" i="12"/>
  <c r="R166" i="12" s="1"/>
  <c r="Q165" i="12"/>
  <c r="R165" i="12" s="1"/>
  <c r="R164" i="12"/>
  <c r="Q164" i="12"/>
  <c r="R163" i="12"/>
  <c r="Q163" i="12"/>
  <c r="R162" i="12"/>
  <c r="Q162" i="12"/>
  <c r="R161" i="12"/>
  <c r="Q161" i="12"/>
  <c r="R160" i="12"/>
  <c r="Q160" i="12"/>
  <c r="Q159" i="12"/>
  <c r="R159" i="12" s="1"/>
  <c r="Q158" i="12"/>
  <c r="R158" i="12" s="1"/>
  <c r="R157" i="12"/>
  <c r="Q157" i="12"/>
  <c r="Q156" i="12"/>
  <c r="R156" i="12" s="1"/>
  <c r="Q155" i="12"/>
  <c r="R155" i="12" s="1"/>
  <c r="Q154" i="12"/>
  <c r="R154" i="12" s="1"/>
  <c r="R153" i="12"/>
  <c r="Q153" i="12"/>
  <c r="R152" i="12"/>
  <c r="Q152" i="12"/>
  <c r="R151" i="12"/>
  <c r="Q151" i="12"/>
  <c r="R150" i="12"/>
  <c r="Q150" i="12"/>
  <c r="Q149" i="12"/>
  <c r="R149" i="12" s="1"/>
  <c r="R148" i="12"/>
  <c r="Q148" i="12"/>
  <c r="Q147" i="12"/>
  <c r="R147" i="12" s="1"/>
  <c r="Q146" i="12"/>
  <c r="R146" i="12" s="1"/>
  <c r="Q145" i="12"/>
  <c r="R145" i="12" s="1"/>
  <c r="R144" i="12"/>
  <c r="Q144" i="12"/>
  <c r="R143" i="12"/>
  <c r="Q143" i="12"/>
  <c r="R142" i="12"/>
  <c r="Q142" i="12"/>
  <c r="Q141" i="12"/>
  <c r="R141" i="12" s="1"/>
  <c r="R140" i="12"/>
  <c r="Q140" i="12"/>
  <c r="Q139" i="12"/>
  <c r="R139" i="12" s="1"/>
  <c r="Q138" i="12"/>
  <c r="R138" i="12" s="1"/>
  <c r="Q137" i="12"/>
  <c r="R137" i="12" s="1"/>
  <c r="R136" i="12"/>
  <c r="Q136" i="12"/>
  <c r="R135" i="12"/>
  <c r="Q135" i="12"/>
  <c r="R134" i="12"/>
  <c r="Q134" i="12"/>
  <c r="Q133" i="12"/>
  <c r="R133" i="12" s="1"/>
  <c r="R132" i="12"/>
  <c r="Q132" i="12"/>
  <c r="Q131" i="12"/>
  <c r="R131" i="12" s="1"/>
  <c r="Q130" i="12"/>
  <c r="R130" i="12" s="1"/>
  <c r="Q129" i="12"/>
  <c r="R129" i="12" s="1"/>
  <c r="R128" i="12"/>
  <c r="Q128" i="12"/>
  <c r="R127" i="12"/>
  <c r="Q127" i="12"/>
  <c r="R126" i="12"/>
  <c r="Q126" i="12"/>
  <c r="Q125" i="12"/>
  <c r="R125" i="12" s="1"/>
  <c r="R124" i="12"/>
  <c r="Q124" i="12"/>
  <c r="Q123" i="12"/>
  <c r="R123" i="12" s="1"/>
  <c r="Q122" i="12"/>
  <c r="R122" i="12" s="1"/>
  <c r="Q121" i="12"/>
  <c r="R121" i="12" s="1"/>
  <c r="R120" i="12"/>
  <c r="Q120" i="12"/>
  <c r="R119" i="12"/>
  <c r="Q119" i="12"/>
  <c r="R118" i="12"/>
  <c r="Q118" i="12"/>
  <c r="Q117" i="12"/>
  <c r="R117" i="12" s="1"/>
  <c r="R116" i="12"/>
  <c r="Q116" i="12"/>
  <c r="Q115" i="12"/>
  <c r="R115" i="12" s="1"/>
  <c r="Q114" i="12"/>
  <c r="R114" i="12" s="1"/>
  <c r="Q113" i="12"/>
  <c r="R113" i="12" s="1"/>
  <c r="R112" i="12"/>
  <c r="Q112" i="12"/>
  <c r="R111" i="12"/>
  <c r="Q111" i="12"/>
  <c r="R110" i="12"/>
  <c r="Q110" i="12"/>
  <c r="Q109" i="12"/>
  <c r="R109" i="12" s="1"/>
  <c r="R108" i="12"/>
  <c r="Q108" i="12"/>
  <c r="Q107" i="12"/>
  <c r="R107" i="12" s="1"/>
  <c r="Q106" i="12"/>
  <c r="R106" i="12" s="1"/>
  <c r="Q105" i="12"/>
  <c r="R105" i="12" s="1"/>
  <c r="R104" i="12"/>
  <c r="Q104" i="12"/>
  <c r="R103" i="12"/>
  <c r="Q103" i="12"/>
  <c r="R102" i="12"/>
  <c r="Q102" i="12"/>
  <c r="Q101" i="12"/>
  <c r="R101" i="12" s="1"/>
  <c r="R100" i="12"/>
  <c r="Q100" i="12"/>
  <c r="Q99" i="12"/>
  <c r="R99" i="12" s="1"/>
  <c r="Q98" i="12"/>
  <c r="R98" i="12" s="1"/>
  <c r="Q97" i="12"/>
  <c r="R97" i="12" s="1"/>
  <c r="R96" i="12"/>
  <c r="Q96" i="12"/>
  <c r="R95" i="12"/>
  <c r="Q95" i="12"/>
  <c r="R94" i="12"/>
  <c r="Q94" i="12"/>
  <c r="Q93" i="12"/>
  <c r="R93" i="12" s="1"/>
  <c r="R92" i="12"/>
  <c r="Q92" i="12"/>
  <c r="Q91" i="12"/>
  <c r="R91" i="12" s="1"/>
  <c r="Q90" i="12"/>
  <c r="R90" i="12" s="1"/>
  <c r="Q89" i="12"/>
  <c r="R89" i="12" s="1"/>
  <c r="R88" i="12"/>
  <c r="Q88" i="12"/>
  <c r="R87" i="12"/>
  <c r="Q87" i="12"/>
  <c r="R86" i="12"/>
  <c r="Q86" i="12"/>
  <c r="Q85" i="12"/>
  <c r="R85" i="12" s="1"/>
  <c r="R84" i="12"/>
  <c r="Q84" i="12"/>
  <c r="Q83" i="12"/>
  <c r="R83" i="12" s="1"/>
  <c r="Q82" i="12"/>
  <c r="R82" i="12" s="1"/>
  <c r="Q81" i="12"/>
  <c r="R81" i="12" s="1"/>
  <c r="R80" i="12"/>
  <c r="Q80" i="12"/>
  <c r="Q79" i="12"/>
  <c r="R79" i="12" s="1"/>
  <c r="R78" i="12"/>
  <c r="Q78" i="12"/>
  <c r="Q77" i="12"/>
  <c r="R77" i="12" s="1"/>
  <c r="R76" i="12"/>
  <c r="Q76" i="12"/>
  <c r="Q75" i="12"/>
  <c r="R75" i="12" s="1"/>
  <c r="Q74" i="12"/>
  <c r="R74" i="12" s="1"/>
  <c r="Q73" i="12"/>
  <c r="R73" i="12" s="1"/>
  <c r="R72" i="12"/>
  <c r="Q72" i="12"/>
  <c r="Q71" i="12"/>
  <c r="R71" i="12" s="1"/>
  <c r="R70" i="12"/>
  <c r="Q70" i="12"/>
  <c r="Q69" i="12"/>
  <c r="R69" i="12" s="1"/>
  <c r="R68" i="12"/>
  <c r="Q68" i="12"/>
  <c r="Q67" i="12"/>
  <c r="R67" i="12" s="1"/>
  <c r="Q66" i="12"/>
  <c r="R66" i="12" s="1"/>
  <c r="Q65" i="12"/>
  <c r="R65" i="12" s="1"/>
  <c r="R64" i="12"/>
  <c r="Q64" i="12"/>
  <c r="Q63" i="12"/>
  <c r="R63" i="12" s="1"/>
  <c r="R62" i="12"/>
  <c r="Q62" i="12"/>
  <c r="Q61" i="12"/>
  <c r="R61" i="12" s="1"/>
  <c r="R60" i="12"/>
  <c r="Q60" i="12"/>
  <c r="Q59" i="12"/>
  <c r="R59" i="12" s="1"/>
  <c r="Q58" i="12"/>
  <c r="R58" i="12" s="1"/>
  <c r="Q57" i="12"/>
  <c r="R57" i="12" s="1"/>
  <c r="R56" i="12"/>
  <c r="Q56" i="12"/>
  <c r="Q55" i="12"/>
  <c r="R55" i="12" s="1"/>
  <c r="R54" i="12"/>
  <c r="Q54" i="12"/>
  <c r="Q53" i="12"/>
  <c r="R53" i="12" s="1"/>
  <c r="R52" i="12"/>
  <c r="Q52" i="12"/>
  <c r="Q51" i="12"/>
  <c r="R51" i="12" s="1"/>
  <c r="Q50" i="12"/>
  <c r="R50" i="12" s="1"/>
  <c r="Q49" i="12"/>
  <c r="R49" i="12" s="1"/>
  <c r="R48" i="12"/>
  <c r="Q48" i="12"/>
  <c r="Q47" i="12"/>
  <c r="R47" i="12" s="1"/>
  <c r="R46" i="12"/>
  <c r="Q46" i="12"/>
  <c r="Q45" i="12"/>
  <c r="R45" i="12" s="1"/>
  <c r="R44" i="12"/>
  <c r="Q44" i="12"/>
  <c r="Q43" i="12"/>
  <c r="R43" i="12" s="1"/>
  <c r="Q42" i="12"/>
  <c r="R42" i="12" s="1"/>
  <c r="Q41" i="12"/>
  <c r="R41" i="12" s="1"/>
  <c r="R40" i="12"/>
  <c r="Q40" i="12"/>
  <c r="Q39" i="12"/>
  <c r="R39" i="12" s="1"/>
  <c r="R38" i="12"/>
  <c r="Q38" i="12"/>
  <c r="Q37" i="12"/>
  <c r="R37" i="12" s="1"/>
  <c r="R36" i="12"/>
  <c r="Q36" i="12"/>
  <c r="Q35" i="12"/>
  <c r="R35" i="12" s="1"/>
  <c r="Q34" i="12"/>
  <c r="R34" i="12" s="1"/>
  <c r="Q33" i="12"/>
  <c r="R33" i="12" s="1"/>
  <c r="R32" i="12"/>
  <c r="Q32" i="12"/>
  <c r="Q31" i="12"/>
  <c r="R31" i="12" s="1"/>
  <c r="R30" i="12"/>
  <c r="Q30" i="12"/>
  <c r="Q29" i="12"/>
  <c r="R29" i="12" s="1"/>
  <c r="R28" i="12"/>
  <c r="Q28" i="12"/>
  <c r="Q27" i="12"/>
  <c r="R27" i="12" s="1"/>
  <c r="Q26" i="12"/>
  <c r="R26" i="12" s="1"/>
  <c r="Q25" i="12"/>
  <c r="R25" i="12" s="1"/>
  <c r="R24" i="12"/>
  <c r="Q24" i="12"/>
  <c r="Q23" i="12"/>
  <c r="R23" i="12" s="1"/>
  <c r="R22" i="12"/>
  <c r="Q22" i="12"/>
  <c r="Q21" i="12"/>
  <c r="R21" i="12" s="1"/>
  <c r="R20" i="12"/>
  <c r="Q20" i="12"/>
  <c r="Q19" i="12"/>
  <c r="R19" i="12" s="1"/>
  <c r="Q18" i="12"/>
  <c r="R18" i="12" s="1"/>
  <c r="Q17" i="12"/>
  <c r="R17" i="12" s="1"/>
  <c r="R16" i="12"/>
  <c r="Q16" i="12"/>
  <c r="Q15" i="12"/>
  <c r="R15" i="12" s="1"/>
  <c r="R14" i="12"/>
  <c r="Q14" i="12"/>
  <c r="Q13" i="12"/>
  <c r="R13" i="12" s="1"/>
  <c r="R12" i="12"/>
  <c r="Q12" i="12"/>
  <c r="Q11" i="12"/>
  <c r="R11" i="12" s="1"/>
  <c r="Q10" i="12"/>
  <c r="R10" i="12" s="1"/>
  <c r="Q9" i="12"/>
  <c r="R9" i="12" s="1"/>
  <c r="R8" i="12"/>
  <c r="Q8" i="12"/>
  <c r="Q7" i="12"/>
  <c r="R7" i="12" s="1"/>
  <c r="Q6" i="12"/>
  <c r="R6" i="12" s="1"/>
  <c r="Q5" i="12"/>
  <c r="R5" i="12" s="1"/>
  <c r="R4" i="12"/>
  <c r="Q4" i="12"/>
  <c r="U3" i="12"/>
  <c r="U4" i="12" s="1"/>
  <c r="U6" i="12" s="1"/>
  <c r="Q3" i="12"/>
  <c r="R3" i="12" s="1"/>
  <c r="U2" i="12"/>
  <c r="Q2" i="12"/>
  <c r="R2" i="12" s="1"/>
  <c r="W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2" i="1"/>
  <c r="U6" i="1"/>
  <c r="U5" i="1"/>
  <c r="U4" i="1"/>
  <c r="U3" i="1"/>
  <c r="U2" i="1"/>
  <c r="T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2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T3" i="12" l="1"/>
  <c r="U5" i="12"/>
  <c r="V1409" i="12" l="1"/>
  <c r="V1401" i="12"/>
  <c r="V1393" i="12"/>
  <c r="V1385" i="12"/>
  <c r="V1377" i="12"/>
  <c r="V1369" i="12"/>
  <c r="V1361" i="12"/>
  <c r="V1353" i="12"/>
  <c r="V1345" i="12"/>
  <c r="V1337" i="12"/>
  <c r="V1329" i="12"/>
  <c r="V1321" i="12"/>
  <c r="V1313" i="12"/>
  <c r="V1305" i="12"/>
  <c r="V1297" i="12"/>
  <c r="V1289" i="12"/>
  <c r="V1281" i="12"/>
  <c r="V1273" i="12"/>
  <c r="V1265" i="12"/>
  <c r="V1257" i="12"/>
  <c r="V1249" i="12"/>
  <c r="V1241" i="12"/>
  <c r="V1233" i="12"/>
  <c r="V1225" i="12"/>
  <c r="V1217" i="12"/>
  <c r="V1209" i="12"/>
  <c r="V1201" i="12"/>
  <c r="V1193" i="12"/>
  <c r="V1185" i="12"/>
  <c r="V1177" i="12"/>
  <c r="V1169" i="12"/>
  <c r="V1161" i="12"/>
  <c r="V1153" i="12"/>
  <c r="V1145" i="12"/>
  <c r="V1137" i="12"/>
  <c r="V1129" i="12"/>
  <c r="V1121" i="12"/>
  <c r="V1113" i="12"/>
  <c r="V1105" i="12"/>
  <c r="V1097" i="12"/>
  <c r="V1406" i="12"/>
  <c r="V1398" i="12"/>
  <c r="V1390" i="12"/>
  <c r="V1382" i="12"/>
  <c r="V1374" i="12"/>
  <c r="V1366" i="12"/>
  <c r="V1358" i="12"/>
  <c r="V1350" i="12"/>
  <c r="V1342" i="12"/>
  <c r="V1334" i="12"/>
  <c r="V1326" i="12"/>
  <c r="V1318" i="12"/>
  <c r="V1310" i="12"/>
  <c r="V1302" i="12"/>
  <c r="V1294" i="12"/>
  <c r="V1286" i="12"/>
  <c r="V1278" i="12"/>
  <c r="V1270" i="12"/>
  <c r="V1262" i="12"/>
  <c r="V1254" i="12"/>
  <c r="V1246" i="12"/>
  <c r="V1238" i="12"/>
  <c r="V1230" i="12"/>
  <c r="V1222" i="12"/>
  <c r="V1214" i="12"/>
  <c r="V1206" i="12"/>
  <c r="V1198" i="12"/>
  <c r="V1190" i="12"/>
  <c r="V1182" i="12"/>
  <c r="V1174" i="12"/>
  <c r="V1166" i="12"/>
  <c r="V1158" i="12"/>
  <c r="V1150" i="12"/>
  <c r="V1142" i="12"/>
  <c r="V1134" i="12"/>
  <c r="V1126" i="12"/>
  <c r="V1118" i="12"/>
  <c r="V1110" i="12"/>
  <c r="V1102" i="12"/>
  <c r="V1094" i="12"/>
  <c r="V1086" i="12"/>
  <c r="V1078" i="12"/>
  <c r="V1070" i="12"/>
  <c r="V1403" i="12"/>
  <c r="V1395" i="12"/>
  <c r="V1387" i="12"/>
  <c r="V1379" i="12"/>
  <c r="V1371" i="12"/>
  <c r="V1363" i="12"/>
  <c r="V1355" i="12"/>
  <c r="V1347" i="12"/>
  <c r="V1339" i="12"/>
  <c r="V1331" i="12"/>
  <c r="V1323" i="12"/>
  <c r="V1315" i="12"/>
  <c r="V1307" i="12"/>
  <c r="V1299" i="12"/>
  <c r="V1291" i="12"/>
  <c r="V1283" i="12"/>
  <c r="V1275" i="12"/>
  <c r="V1267" i="12"/>
  <c r="V1259" i="12"/>
  <c r="V1251" i="12"/>
  <c r="V1243" i="12"/>
  <c r="V1235" i="12"/>
  <c r="V1227" i="12"/>
  <c r="V1219" i="12"/>
  <c r="V1211" i="12"/>
  <c r="V1203" i="12"/>
  <c r="V1195" i="12"/>
  <c r="V1187" i="12"/>
  <c r="V1179" i="12"/>
  <c r="V1171" i="12"/>
  <c r="V1408" i="12"/>
  <c r="V1400" i="12"/>
  <c r="V1392" i="12"/>
  <c r="V1384" i="12"/>
  <c r="V1376" i="12"/>
  <c r="V1368" i="12"/>
  <c r="V1360" i="12"/>
  <c r="V1352" i="12"/>
  <c r="V1344" i="12"/>
  <c r="V1336" i="12"/>
  <c r="V1328" i="12"/>
  <c r="V1320" i="12"/>
  <c r="V1312" i="12"/>
  <c r="V1304" i="12"/>
  <c r="V1296" i="12"/>
  <c r="V1288" i="12"/>
  <c r="V1280" i="12"/>
  <c r="V1272" i="12"/>
  <c r="V1264" i="12"/>
  <c r="V1256" i="12"/>
  <c r="V1248" i="12"/>
  <c r="V1240" i="12"/>
  <c r="V1232" i="12"/>
  <c r="V1224" i="12"/>
  <c r="V1216" i="12"/>
  <c r="V1208" i="12"/>
  <c r="V1200" i="12"/>
  <c r="V1192" i="12"/>
  <c r="V1184" i="12"/>
  <c r="V1176" i="12"/>
  <c r="V1168" i="12"/>
  <c r="V1160" i="12"/>
  <c r="V1152" i="12"/>
  <c r="V1144" i="12"/>
  <c r="V1136" i="12"/>
  <c r="V1128" i="12"/>
  <c r="V1120" i="12"/>
  <c r="V1112" i="12"/>
  <c r="V1104" i="12"/>
  <c r="V1096" i="12"/>
  <c r="V1405" i="12"/>
  <c r="V1397" i="12"/>
  <c r="V1389" i="12"/>
  <c r="V1381" i="12"/>
  <c r="V1373" i="12"/>
  <c r="V1365" i="12"/>
  <c r="V1357" i="12"/>
  <c r="V1349" i="12"/>
  <c r="V1341" i="12"/>
  <c r="V1333" i="12"/>
  <c r="V1325" i="12"/>
  <c r="V1317" i="12"/>
  <c r="V1309" i="12"/>
  <c r="V1301" i="12"/>
  <c r="V1293" i="12"/>
  <c r="V1285" i="12"/>
  <c r="V1277" i="12"/>
  <c r="V1269" i="12"/>
  <c r="V1261" i="12"/>
  <c r="V1253" i="12"/>
  <c r="V1245" i="12"/>
  <c r="V1237" i="12"/>
  <c r="V1229" i="12"/>
  <c r="V1221" i="12"/>
  <c r="V1213" i="12"/>
  <c r="V1205" i="12"/>
  <c r="V1197" i="12"/>
  <c r="V1189" i="12"/>
  <c r="V1181" i="12"/>
  <c r="V1173" i="12"/>
  <c r="V1165" i="12"/>
  <c r="V1157" i="12"/>
  <c r="V1149" i="12"/>
  <c r="V1141" i="12"/>
  <c r="V1133" i="12"/>
  <c r="V1125" i="12"/>
  <c r="V1117" i="12"/>
  <c r="V1109" i="12"/>
  <c r="V1101" i="12"/>
  <c r="V1093" i="12"/>
  <c r="V1085" i="12"/>
  <c r="V1402" i="12"/>
  <c r="V1394" i="12"/>
  <c r="V1386" i="12"/>
  <c r="V1378" i="12"/>
  <c r="V1370" i="12"/>
  <c r="V1362" i="12"/>
  <c r="V1354" i="12"/>
  <c r="V1346" i="12"/>
  <c r="V1338" i="12"/>
  <c r="V1330" i="12"/>
  <c r="V1322" i="12"/>
  <c r="V1314" i="12"/>
  <c r="V1306" i="12"/>
  <c r="V1298" i="12"/>
  <c r="V1290" i="12"/>
  <c r="V1282" i="12"/>
  <c r="V1274" i="12"/>
  <c r="V1266" i="12"/>
  <c r="V1258" i="12"/>
  <c r="V1250" i="12"/>
  <c r="V1242" i="12"/>
  <c r="V1234" i="12"/>
  <c r="V1226" i="12"/>
  <c r="V1218" i="12"/>
  <c r="V1210" i="12"/>
  <c r="V1202" i="12"/>
  <c r="V1194" i="12"/>
  <c r="V1186" i="12"/>
  <c r="V1178" i="12"/>
  <c r="V1170" i="12"/>
  <c r="V1162" i="12"/>
  <c r="V1154" i="12"/>
  <c r="V1146" i="12"/>
  <c r="V1138" i="12"/>
  <c r="V1130" i="12"/>
  <c r="V1122" i="12"/>
  <c r="V1114" i="12"/>
  <c r="V1106" i="12"/>
  <c r="V1098" i="12"/>
  <c r="V1090" i="12"/>
  <c r="V1082" i="12"/>
  <c r="V1407" i="12"/>
  <c r="V1399" i="12"/>
  <c r="V1391" i="12"/>
  <c r="V1383" i="12"/>
  <c r="V1375" i="12"/>
  <c r="V1367" i="12"/>
  <c r="V1359" i="12"/>
  <c r="V1351" i="12"/>
  <c r="V1343" i="12"/>
  <c r="V1335" i="12"/>
  <c r="V1327" i="12"/>
  <c r="V1319" i="12"/>
  <c r="V1311" i="12"/>
  <c r="V1303" i="12"/>
  <c r="V1295" i="12"/>
  <c r="V1287" i="12"/>
  <c r="V1279" i="12"/>
  <c r="V1271" i="12"/>
  <c r="V1263" i="12"/>
  <c r="V1255" i="12"/>
  <c r="V1247" i="12"/>
  <c r="V1239" i="12"/>
  <c r="V1231" i="12"/>
  <c r="V1223" i="12"/>
  <c r="V1215" i="12"/>
  <c r="V1207" i="12"/>
  <c r="V1199" i="12"/>
  <c r="V1191" i="12"/>
  <c r="V1183" i="12"/>
  <c r="V1175" i="12"/>
  <c r="V1167" i="12"/>
  <c r="V1159" i="12"/>
  <c r="V1151" i="12"/>
  <c r="V1143" i="12"/>
  <c r="V1135" i="12"/>
  <c r="V1127" i="12"/>
  <c r="V1119" i="12"/>
  <c r="V1111" i="12"/>
  <c r="V1103" i="12"/>
  <c r="V1095" i="12"/>
  <c r="V1087" i="12"/>
  <c r="V1079" i="12"/>
  <c r="V1071" i="12"/>
  <c r="V1404" i="12"/>
  <c r="V1396" i="12"/>
  <c r="V1388" i="12"/>
  <c r="V1380" i="12"/>
  <c r="V1372" i="12"/>
  <c r="V1364" i="12"/>
  <c r="V1356" i="12"/>
  <c r="V1348" i="12"/>
  <c r="V1340" i="12"/>
  <c r="V1332" i="12"/>
  <c r="V1324" i="12"/>
  <c r="V1316" i="12"/>
  <c r="V1308" i="12"/>
  <c r="V1300" i="12"/>
  <c r="V1292" i="12"/>
  <c r="V1284" i="12"/>
  <c r="V1276" i="12"/>
  <c r="V1268" i="12"/>
  <c r="V1260" i="12"/>
  <c r="V1252" i="12"/>
  <c r="V1244" i="12"/>
  <c r="V1236" i="12"/>
  <c r="V1228" i="12"/>
  <c r="V1220" i="12"/>
  <c r="V1212" i="12"/>
  <c r="V1204" i="12"/>
  <c r="V1196" i="12"/>
  <c r="V1188" i="12"/>
  <c r="V1180" i="12"/>
  <c r="V1172" i="12"/>
  <c r="V1164" i="12"/>
  <c r="V1163" i="12"/>
  <c r="V1155" i="12"/>
  <c r="V1147" i="12"/>
  <c r="V1108" i="12"/>
  <c r="V1080" i="12"/>
  <c r="V1074" i="12"/>
  <c r="V1062" i="12"/>
  <c r="V1054" i="12"/>
  <c r="V1046" i="12"/>
  <c r="V1038" i="12"/>
  <c r="V1030" i="12"/>
  <c r="V1022" i="12"/>
  <c r="V1014" i="12"/>
  <c r="V1006" i="12"/>
  <c r="V998" i="12"/>
  <c r="V990" i="12"/>
  <c r="V982" i="12"/>
  <c r="V974" i="12"/>
  <c r="V966" i="12"/>
  <c r="V958" i="12"/>
  <c r="V950" i="12"/>
  <c r="V942" i="12"/>
  <c r="V934" i="12"/>
  <c r="V926" i="12"/>
  <c r="V918" i="12"/>
  <c r="V910" i="12"/>
  <c r="V902" i="12"/>
  <c r="V894" i="12"/>
  <c r="V886" i="12"/>
  <c r="V878" i="12"/>
  <c r="V870" i="12"/>
  <c r="V862" i="12"/>
  <c r="V854" i="12"/>
  <c r="V846" i="12"/>
  <c r="V838" i="12"/>
  <c r="V830" i="12"/>
  <c r="V822" i="12"/>
  <c r="V814" i="12"/>
  <c r="V806" i="12"/>
  <c r="V798" i="12"/>
  <c r="V790" i="12"/>
  <c r="V782" i="12"/>
  <c r="V774" i="12"/>
  <c r="V766" i="12"/>
  <c r="V1116" i="12"/>
  <c r="V1091" i="12"/>
  <c r="V1067" i="12"/>
  <c r="V1059" i="12"/>
  <c r="V1051" i="12"/>
  <c r="V1043" i="12"/>
  <c r="V1035" i="12"/>
  <c r="V1027" i="12"/>
  <c r="V1019" i="12"/>
  <c r="V1011" i="12"/>
  <c r="V1003" i="12"/>
  <c r="V995" i="12"/>
  <c r="V987" i="12"/>
  <c r="V979" i="12"/>
  <c r="V971" i="12"/>
  <c r="V963" i="12"/>
  <c r="V955" i="12"/>
  <c r="V947" i="12"/>
  <c r="V939" i="12"/>
  <c r="V931" i="12"/>
  <c r="V923" i="12"/>
  <c r="V915" i="12"/>
  <c r="V907" i="12"/>
  <c r="V899" i="12"/>
  <c r="V891" i="12"/>
  <c r="V883" i="12"/>
  <c r="V875" i="12"/>
  <c r="V867" i="12"/>
  <c r="V859" i="12"/>
  <c r="V851" i="12"/>
  <c r="V843" i="12"/>
  <c r="V835" i="12"/>
  <c r="V827" i="12"/>
  <c r="V819" i="12"/>
  <c r="V811" i="12"/>
  <c r="V803" i="12"/>
  <c r="V795" i="12"/>
  <c r="V787" i="12"/>
  <c r="V779" i="12"/>
  <c r="V771" i="12"/>
  <c r="V1124" i="12"/>
  <c r="V1099" i="12"/>
  <c r="V1083" i="12"/>
  <c r="V1076" i="12"/>
  <c r="V1073" i="12"/>
  <c r="V1064" i="12"/>
  <c r="V1056" i="12"/>
  <c r="V1048" i="12"/>
  <c r="V1040" i="12"/>
  <c r="V1032" i="12"/>
  <c r="V1024" i="12"/>
  <c r="V1016" i="12"/>
  <c r="V1008" i="12"/>
  <c r="V1000" i="12"/>
  <c r="V992" i="12"/>
  <c r="V984" i="12"/>
  <c r="V976" i="12"/>
  <c r="V968" i="12"/>
  <c r="V960" i="12"/>
  <c r="V952" i="12"/>
  <c r="V944" i="12"/>
  <c r="V936" i="12"/>
  <c r="V928" i="12"/>
  <c r="V920" i="12"/>
  <c r="V912" i="12"/>
  <c r="V904" i="12"/>
  <c r="V896" i="12"/>
  <c r="V888" i="12"/>
  <c r="V880" i="12"/>
  <c r="V872" i="12"/>
  <c r="V864" i="12"/>
  <c r="V856" i="12"/>
  <c r="V848" i="12"/>
  <c r="V840" i="12"/>
  <c r="V832" i="12"/>
  <c r="V824" i="12"/>
  <c r="V816" i="12"/>
  <c r="V808" i="12"/>
  <c r="V800" i="12"/>
  <c r="V792" i="12"/>
  <c r="V784" i="12"/>
  <c r="V776" i="12"/>
  <c r="V1132" i="12"/>
  <c r="V1107" i="12"/>
  <c r="V1069" i="12"/>
  <c r="V1061" i="12"/>
  <c r="V1053" i="12"/>
  <c r="V1045" i="12"/>
  <c r="V1037" i="12"/>
  <c r="V1029" i="12"/>
  <c r="V1021" i="12"/>
  <c r="V1013" i="12"/>
  <c r="V1005" i="12"/>
  <c r="V997" i="12"/>
  <c r="V989" i="12"/>
  <c r="V981" i="12"/>
  <c r="V973" i="12"/>
  <c r="V965" i="12"/>
  <c r="V957" i="12"/>
  <c r="V949" i="12"/>
  <c r="V941" i="12"/>
  <c r="V933" i="12"/>
  <c r="V925" i="12"/>
  <c r="V917" i="12"/>
  <c r="V909" i="12"/>
  <c r="V901" i="12"/>
  <c r="V893" i="12"/>
  <c r="V885" i="12"/>
  <c r="V877" i="12"/>
  <c r="V1140" i="12"/>
  <c r="V1115" i="12"/>
  <c r="V1072" i="12"/>
  <c r="V1066" i="12"/>
  <c r="V1058" i="12"/>
  <c r="V1050" i="12"/>
  <c r="V1042" i="12"/>
  <c r="V1034" i="12"/>
  <c r="V1026" i="12"/>
  <c r="V1018" i="12"/>
  <c r="V1010" i="12"/>
  <c r="V1002" i="12"/>
  <c r="V994" i="12"/>
  <c r="V986" i="12"/>
  <c r="V978" i="12"/>
  <c r="V970" i="12"/>
  <c r="V962" i="12"/>
  <c r="V954" i="12"/>
  <c r="V946" i="12"/>
  <c r="V938" i="12"/>
  <c r="V930" i="12"/>
  <c r="V922" i="12"/>
  <c r="V914" i="12"/>
  <c r="V906" i="12"/>
  <c r="V898" i="12"/>
  <c r="V890" i="12"/>
  <c r="V882" i="12"/>
  <c r="V874" i="12"/>
  <c r="V866" i="12"/>
  <c r="V858" i="12"/>
  <c r="V850" i="12"/>
  <c r="V842" i="12"/>
  <c r="V834" i="12"/>
  <c r="V826" i="12"/>
  <c r="V818" i="12"/>
  <c r="V810" i="12"/>
  <c r="V1156" i="12"/>
  <c r="V1148" i="12"/>
  <c r="V1123" i="12"/>
  <c r="V1089" i="12"/>
  <c r="V1075" i="12"/>
  <c r="V1063" i="12"/>
  <c r="V1055" i="12"/>
  <c r="V1047" i="12"/>
  <c r="V1039" i="12"/>
  <c r="V1031" i="12"/>
  <c r="V1023" i="12"/>
  <c r="V1015" i="12"/>
  <c r="V1007" i="12"/>
  <c r="V999" i="12"/>
  <c r="V991" i="12"/>
  <c r="V983" i="12"/>
  <c r="V975" i="12"/>
  <c r="V967" i="12"/>
  <c r="V959" i="12"/>
  <c r="V951" i="12"/>
  <c r="V943" i="12"/>
  <c r="V935" i="12"/>
  <c r="V927" i="12"/>
  <c r="V919" i="12"/>
  <c r="V911" i="12"/>
  <c r="V903" i="12"/>
  <c r="V895" i="12"/>
  <c r="V887" i="12"/>
  <c r="V879" i="12"/>
  <c r="V871" i="12"/>
  <c r="V863" i="12"/>
  <c r="V855" i="12"/>
  <c r="V847" i="12"/>
  <c r="V839" i="12"/>
  <c r="V831" i="12"/>
  <c r="V823" i="12"/>
  <c r="V815" i="12"/>
  <c r="V807" i="12"/>
  <c r="V799" i="12"/>
  <c r="V791" i="12"/>
  <c r="V783" i="12"/>
  <c r="V775" i="12"/>
  <c r="V767" i="12"/>
  <c r="V759" i="12"/>
  <c r="V1131" i="12"/>
  <c r="V1092" i="12"/>
  <c r="V1081" i="12"/>
  <c r="V1068" i="12"/>
  <c r="V1060" i="12"/>
  <c r="V1052" i="12"/>
  <c r="V1044" i="12"/>
  <c r="V1036" i="12"/>
  <c r="V1028" i="12"/>
  <c r="V1020" i="12"/>
  <c r="V1012" i="12"/>
  <c r="V1004" i="12"/>
  <c r="V996" i="12"/>
  <c r="V988" i="12"/>
  <c r="V980" i="12"/>
  <c r="V972" i="12"/>
  <c r="V964" i="12"/>
  <c r="V956" i="12"/>
  <c r="V948" i="12"/>
  <c r="V940" i="12"/>
  <c r="V932" i="12"/>
  <c r="V924" i="12"/>
  <c r="V916" i="12"/>
  <c r="V908" i="12"/>
  <c r="V900" i="12"/>
  <c r="V892" i="12"/>
  <c r="V884" i="12"/>
  <c r="V876" i="12"/>
  <c r="V868" i="12"/>
  <c r="V860" i="12"/>
  <c r="V852" i="12"/>
  <c r="V844" i="12"/>
  <c r="V836" i="12"/>
  <c r="V828" i="12"/>
  <c r="V820" i="12"/>
  <c r="V812" i="12"/>
  <c r="V804" i="12"/>
  <c r="V796" i="12"/>
  <c r="V788" i="12"/>
  <c r="V1139" i="12"/>
  <c r="V1100" i="12"/>
  <c r="V1088" i="12"/>
  <c r="V1084" i="12"/>
  <c r="V1077" i="12"/>
  <c r="V1065" i="12"/>
  <c r="V1057" i="12"/>
  <c r="V1049" i="12"/>
  <c r="V1041" i="12"/>
  <c r="V1033" i="12"/>
  <c r="V1025" i="12"/>
  <c r="V1017" i="12"/>
  <c r="V1009" i="12"/>
  <c r="V1001" i="12"/>
  <c r="V993" i="12"/>
  <c r="V985" i="12"/>
  <c r="V977" i="12"/>
  <c r="V969" i="12"/>
  <c r="V961" i="12"/>
  <c r="V953" i="12"/>
  <c r="V945" i="12"/>
  <c r="V937" i="12"/>
  <c r="V929" i="12"/>
  <c r="V921" i="12"/>
  <c r="V865" i="12"/>
  <c r="V845" i="12"/>
  <c r="V768" i="12"/>
  <c r="V762" i="12"/>
  <c r="V756" i="12"/>
  <c r="V748" i="12"/>
  <c r="V740" i="12"/>
  <c r="V732" i="12"/>
  <c r="V724" i="12"/>
  <c r="V716" i="12"/>
  <c r="V708" i="12"/>
  <c r="V700" i="12"/>
  <c r="V692" i="12"/>
  <c r="V684" i="12"/>
  <c r="V676" i="12"/>
  <c r="V668" i="12"/>
  <c r="V660" i="12"/>
  <c r="V652" i="12"/>
  <c r="V644" i="12"/>
  <c r="V636" i="12"/>
  <c r="V628" i="12"/>
  <c r="V620" i="12"/>
  <c r="V612" i="12"/>
  <c r="V604" i="12"/>
  <c r="V596" i="12"/>
  <c r="V588" i="12"/>
  <c r="V580" i="12"/>
  <c r="V572" i="12"/>
  <c r="V564" i="12"/>
  <c r="V556" i="12"/>
  <c r="V548" i="12"/>
  <c r="V540" i="12"/>
  <c r="V532" i="12"/>
  <c r="V524" i="12"/>
  <c r="V516" i="12"/>
  <c r="V508" i="12"/>
  <c r="V500" i="12"/>
  <c r="V492" i="12"/>
  <c r="V484" i="12"/>
  <c r="V476" i="12"/>
  <c r="V468" i="12"/>
  <c r="V869" i="12"/>
  <c r="V825" i="12"/>
  <c r="V805" i="12"/>
  <c r="V801" i="12"/>
  <c r="V753" i="12"/>
  <c r="V745" i="12"/>
  <c r="V737" i="12"/>
  <c r="V729" i="12"/>
  <c r="V721" i="12"/>
  <c r="V713" i="12"/>
  <c r="V705" i="12"/>
  <c r="V697" i="12"/>
  <c r="V689" i="12"/>
  <c r="V681" i="12"/>
  <c r="V673" i="12"/>
  <c r="V665" i="12"/>
  <c r="V657" i="12"/>
  <c r="V649" i="12"/>
  <c r="V641" i="12"/>
  <c r="V633" i="12"/>
  <c r="V625" i="12"/>
  <c r="V617" i="12"/>
  <c r="V609" i="12"/>
  <c r="V601" i="12"/>
  <c r="V593" i="12"/>
  <c r="V585" i="12"/>
  <c r="V577" i="12"/>
  <c r="V569" i="12"/>
  <c r="V561" i="12"/>
  <c r="V553" i="12"/>
  <c r="V545" i="12"/>
  <c r="V537" i="12"/>
  <c r="V529" i="12"/>
  <c r="V521" i="12"/>
  <c r="V513" i="12"/>
  <c r="V505" i="12"/>
  <c r="V497" i="12"/>
  <c r="V489" i="12"/>
  <c r="V481" i="12"/>
  <c r="V473" i="12"/>
  <c r="V465" i="12"/>
  <c r="V457" i="12"/>
  <c r="V849" i="12"/>
  <c r="V829" i="12"/>
  <c r="V764" i="12"/>
  <c r="V761" i="12"/>
  <c r="V758" i="12"/>
  <c r="V750" i="12"/>
  <c r="V742" i="12"/>
  <c r="V734" i="12"/>
  <c r="V726" i="12"/>
  <c r="V718" i="12"/>
  <c r="V710" i="12"/>
  <c r="V702" i="12"/>
  <c r="V694" i="12"/>
  <c r="V686" i="12"/>
  <c r="V678" i="12"/>
  <c r="V670" i="12"/>
  <c r="V662" i="12"/>
  <c r="V654" i="12"/>
  <c r="V646" i="12"/>
  <c r="V638" i="12"/>
  <c r="V630" i="12"/>
  <c r="V622" i="12"/>
  <c r="V614" i="12"/>
  <c r="V606" i="12"/>
  <c r="V598" i="12"/>
  <c r="V590" i="12"/>
  <c r="V582" i="12"/>
  <c r="V574" i="12"/>
  <c r="V566" i="12"/>
  <c r="V558" i="12"/>
  <c r="V550" i="12"/>
  <c r="V542" i="12"/>
  <c r="V534" i="12"/>
  <c r="V526" i="12"/>
  <c r="V518" i="12"/>
  <c r="V510" i="12"/>
  <c r="V502" i="12"/>
  <c r="V905" i="12"/>
  <c r="V889" i="12"/>
  <c r="V873" i="12"/>
  <c r="V853" i="12"/>
  <c r="V809" i="12"/>
  <c r="V786" i="12"/>
  <c r="V778" i="12"/>
  <c r="V755" i="12"/>
  <c r="V747" i="12"/>
  <c r="V739" i="12"/>
  <c r="V731" i="12"/>
  <c r="V723" i="12"/>
  <c r="V715" i="12"/>
  <c r="V707" i="12"/>
  <c r="V699" i="12"/>
  <c r="V691" i="12"/>
  <c r="V683" i="12"/>
  <c r="V675" i="12"/>
  <c r="V667" i="12"/>
  <c r="V659" i="12"/>
  <c r="V651" i="12"/>
  <c r="V643" i="12"/>
  <c r="V635" i="12"/>
  <c r="V627" i="12"/>
  <c r="V619" i="12"/>
  <c r="V611" i="12"/>
  <c r="V603" i="12"/>
  <c r="V595" i="12"/>
  <c r="V587" i="12"/>
  <c r="V579" i="12"/>
  <c r="V571" i="12"/>
  <c r="V563" i="12"/>
  <c r="V555" i="12"/>
  <c r="V547" i="12"/>
  <c r="V539" i="12"/>
  <c r="V531" i="12"/>
  <c r="V833" i="12"/>
  <c r="V813" i="12"/>
  <c r="V781" i="12"/>
  <c r="V773" i="12"/>
  <c r="V770" i="12"/>
  <c r="V752" i="12"/>
  <c r="V744" i="12"/>
  <c r="V736" i="12"/>
  <c r="V728" i="12"/>
  <c r="V720" i="12"/>
  <c r="V712" i="12"/>
  <c r="V704" i="12"/>
  <c r="V696" i="12"/>
  <c r="V688" i="12"/>
  <c r="V680" i="12"/>
  <c r="V672" i="12"/>
  <c r="V664" i="12"/>
  <c r="V656" i="12"/>
  <c r="V648" i="12"/>
  <c r="V640" i="12"/>
  <c r="V632" i="12"/>
  <c r="V624" i="12"/>
  <c r="V616" i="12"/>
  <c r="V608" i="12"/>
  <c r="V600" i="12"/>
  <c r="V857" i="12"/>
  <c r="V837" i="12"/>
  <c r="V794" i="12"/>
  <c r="V789" i="12"/>
  <c r="V785" i="12"/>
  <c r="V777" i="12"/>
  <c r="V763" i="12"/>
  <c r="V760" i="12"/>
  <c r="V757" i="12"/>
  <c r="V749" i="12"/>
  <c r="V741" i="12"/>
  <c r="V733" i="12"/>
  <c r="V725" i="12"/>
  <c r="V717" i="12"/>
  <c r="V709" i="12"/>
  <c r="V701" i="12"/>
  <c r="V693" i="12"/>
  <c r="V685" i="12"/>
  <c r="V677" i="12"/>
  <c r="V669" i="12"/>
  <c r="V661" i="12"/>
  <c r="V653" i="12"/>
  <c r="V645" i="12"/>
  <c r="V637" i="12"/>
  <c r="V629" i="12"/>
  <c r="V621" i="12"/>
  <c r="V613" i="12"/>
  <c r="V605" i="12"/>
  <c r="V597" i="12"/>
  <c r="V589" i="12"/>
  <c r="V581" i="12"/>
  <c r="V573" i="12"/>
  <c r="V565" i="12"/>
  <c r="V557" i="12"/>
  <c r="V549" i="12"/>
  <c r="V541" i="12"/>
  <c r="V533" i="12"/>
  <c r="V525" i="12"/>
  <c r="V517" i="12"/>
  <c r="V509" i="12"/>
  <c r="V501" i="12"/>
  <c r="V493" i="12"/>
  <c r="V485" i="12"/>
  <c r="V477" i="12"/>
  <c r="V469" i="12"/>
  <c r="V861" i="12"/>
  <c r="V817" i="12"/>
  <c r="V769" i="12"/>
  <c r="V754" i="12"/>
  <c r="V746" i="12"/>
  <c r="V738" i="12"/>
  <c r="V730" i="12"/>
  <c r="V722" i="12"/>
  <c r="V714" i="12"/>
  <c r="V706" i="12"/>
  <c r="V698" i="12"/>
  <c r="V690" i="12"/>
  <c r="V682" i="12"/>
  <c r="V674" i="12"/>
  <c r="V666" i="12"/>
  <c r="V658" i="12"/>
  <c r="V650" i="12"/>
  <c r="V642" i="12"/>
  <c r="V634" i="12"/>
  <c r="V626" i="12"/>
  <c r="V618" i="12"/>
  <c r="V610" i="12"/>
  <c r="V602" i="12"/>
  <c r="V594" i="12"/>
  <c r="V586" i="12"/>
  <c r="V578" i="12"/>
  <c r="V570" i="12"/>
  <c r="V562" i="12"/>
  <c r="V554" i="12"/>
  <c r="V913" i="12"/>
  <c r="V897" i="12"/>
  <c r="V881" i="12"/>
  <c r="V841" i="12"/>
  <c r="V821" i="12"/>
  <c r="V802" i="12"/>
  <c r="V797" i="12"/>
  <c r="V793" i="12"/>
  <c r="V780" i="12"/>
  <c r="V772" i="12"/>
  <c r="V765" i="12"/>
  <c r="V751" i="12"/>
  <c r="V743" i="12"/>
  <c r="V735" i="12"/>
  <c r="V727" i="12"/>
  <c r="V719" i="12"/>
  <c r="V711" i="12"/>
  <c r="V703" i="12"/>
  <c r="V695" i="12"/>
  <c r="V687" i="12"/>
  <c r="V679" i="12"/>
  <c r="V671" i="12"/>
  <c r="V663" i="12"/>
  <c r="V655" i="12"/>
  <c r="V647" i="12"/>
  <c r="V639" i="12"/>
  <c r="V631" i="12"/>
  <c r="V623" i="12"/>
  <c r="V615" i="12"/>
  <c r="V607" i="12"/>
  <c r="V599" i="12"/>
  <c r="V591" i="12"/>
  <c r="V583" i="12"/>
  <c r="V575" i="12"/>
  <c r="V567" i="12"/>
  <c r="V559" i="12"/>
  <c r="V551" i="12"/>
  <c r="V543" i="12"/>
  <c r="V535" i="12"/>
  <c r="V546" i="12"/>
  <c r="V528" i="12"/>
  <c r="V498" i="12"/>
  <c r="V491" i="12"/>
  <c r="V488" i="12"/>
  <c r="V478" i="12"/>
  <c r="V471" i="12"/>
  <c r="V453" i="12"/>
  <c r="V450" i="12"/>
  <c r="V442" i="12"/>
  <c r="V434" i="12"/>
  <c r="V426" i="12"/>
  <c r="V418" i="12"/>
  <c r="V410" i="12"/>
  <c r="V402" i="12"/>
  <c r="V394" i="12"/>
  <c r="V386" i="12"/>
  <c r="V378" i="12"/>
  <c r="V370" i="12"/>
  <c r="V362" i="12"/>
  <c r="V354" i="12"/>
  <c r="V346" i="12"/>
  <c r="V338" i="12"/>
  <c r="V330" i="12"/>
  <c r="V322" i="12"/>
  <c r="V314" i="12"/>
  <c r="V306" i="12"/>
  <c r="V298" i="12"/>
  <c r="V290" i="12"/>
  <c r="V282" i="12"/>
  <c r="V274" i="12"/>
  <c r="V266" i="12"/>
  <c r="V258" i="12"/>
  <c r="V250" i="12"/>
  <c r="V242" i="12"/>
  <c r="V234" i="12"/>
  <c r="V226" i="12"/>
  <c r="V218" i="12"/>
  <c r="V210" i="12"/>
  <c r="V202" i="12"/>
  <c r="V194" i="12"/>
  <c r="V186" i="12"/>
  <c r="V178" i="12"/>
  <c r="V170" i="12"/>
  <c r="V162" i="12"/>
  <c r="V560" i="12"/>
  <c r="V520" i="12"/>
  <c r="V474" i="12"/>
  <c r="V467" i="12"/>
  <c r="V464" i="12"/>
  <c r="V447" i="12"/>
  <c r="V439" i="12"/>
  <c r="V431" i="12"/>
  <c r="V423" i="12"/>
  <c r="V415" i="12"/>
  <c r="V407" i="12"/>
  <c r="V399" i="12"/>
  <c r="V391" i="12"/>
  <c r="V383" i="12"/>
  <c r="V375" i="12"/>
  <c r="V367" i="12"/>
  <c r="V359" i="12"/>
  <c r="V351" i="12"/>
  <c r="V343" i="12"/>
  <c r="V335" i="12"/>
  <c r="V327" i="12"/>
  <c r="V319" i="12"/>
  <c r="V311" i="12"/>
  <c r="V303" i="12"/>
  <c r="V295" i="12"/>
  <c r="V287" i="12"/>
  <c r="V279" i="12"/>
  <c r="V271" i="12"/>
  <c r="V263" i="12"/>
  <c r="V255" i="12"/>
  <c r="V247" i="12"/>
  <c r="V239" i="12"/>
  <c r="V231" i="12"/>
  <c r="V223" i="12"/>
  <c r="V215" i="12"/>
  <c r="V207" i="12"/>
  <c r="V199" i="12"/>
  <c r="V191" i="12"/>
  <c r="V584" i="12"/>
  <c r="V536" i="12"/>
  <c r="V527" i="12"/>
  <c r="V523" i="12"/>
  <c r="V512" i="12"/>
  <c r="V494" i="12"/>
  <c r="V487" i="12"/>
  <c r="V461" i="12"/>
  <c r="V458" i="12"/>
  <c r="V455" i="12"/>
  <c r="V444" i="12"/>
  <c r="V436" i="12"/>
  <c r="V428" i="12"/>
  <c r="V420" i="12"/>
  <c r="V412" i="12"/>
  <c r="V404" i="12"/>
  <c r="V396" i="12"/>
  <c r="V388" i="12"/>
  <c r="V380" i="12"/>
  <c r="V372" i="12"/>
  <c r="V364" i="12"/>
  <c r="V356" i="12"/>
  <c r="V348" i="12"/>
  <c r="V340" i="12"/>
  <c r="V332" i="12"/>
  <c r="V324" i="12"/>
  <c r="V316" i="12"/>
  <c r="V308" i="12"/>
  <c r="V300" i="12"/>
  <c r="V292" i="12"/>
  <c r="V284" i="12"/>
  <c r="V276" i="12"/>
  <c r="V268" i="12"/>
  <c r="V260" i="12"/>
  <c r="V252" i="12"/>
  <c r="V244" i="12"/>
  <c r="V236" i="12"/>
  <c r="V228" i="12"/>
  <c r="V220" i="12"/>
  <c r="V212" i="12"/>
  <c r="V204" i="12"/>
  <c r="V196" i="12"/>
  <c r="V188" i="12"/>
  <c r="V519" i="12"/>
  <c r="V515" i="12"/>
  <c r="V504" i="12"/>
  <c r="V490" i="12"/>
  <c r="V483" i="12"/>
  <c r="V480" i="12"/>
  <c r="V470" i="12"/>
  <c r="V452" i="12"/>
  <c r="V449" i="12"/>
  <c r="V441" i="12"/>
  <c r="V433" i="12"/>
  <c r="V425" i="12"/>
  <c r="V417" i="12"/>
  <c r="V409" i="12"/>
  <c r="V401" i="12"/>
  <c r="V393" i="12"/>
  <c r="V385" i="12"/>
  <c r="V377" i="12"/>
  <c r="V369" i="12"/>
  <c r="V361" i="12"/>
  <c r="V353" i="12"/>
  <c r="V345" i="12"/>
  <c r="V337" i="12"/>
  <c r="V329" i="12"/>
  <c r="V321" i="12"/>
  <c r="V313" i="12"/>
  <c r="V305" i="12"/>
  <c r="V297" i="12"/>
  <c r="V289" i="12"/>
  <c r="V281" i="12"/>
  <c r="V273" i="12"/>
  <c r="V265" i="12"/>
  <c r="V568" i="12"/>
  <c r="V544" i="12"/>
  <c r="V530" i="12"/>
  <c r="V511" i="12"/>
  <c r="V507" i="12"/>
  <c r="V466" i="12"/>
  <c r="V463" i="12"/>
  <c r="V446" i="12"/>
  <c r="V438" i="12"/>
  <c r="V430" i="12"/>
  <c r="V422" i="12"/>
  <c r="V414" i="12"/>
  <c r="V406" i="12"/>
  <c r="V398" i="12"/>
  <c r="V390" i="12"/>
  <c r="V382" i="12"/>
  <c r="V374" i="12"/>
  <c r="V366" i="12"/>
  <c r="V358" i="12"/>
  <c r="V350" i="12"/>
  <c r="V342" i="12"/>
  <c r="V334" i="12"/>
  <c r="V326" i="12"/>
  <c r="V318" i="12"/>
  <c r="V310" i="12"/>
  <c r="V302" i="12"/>
  <c r="V294" i="12"/>
  <c r="V286" i="12"/>
  <c r="V278" i="12"/>
  <c r="V270" i="12"/>
  <c r="V262" i="12"/>
  <c r="V254" i="12"/>
  <c r="V246" i="12"/>
  <c r="V238" i="12"/>
  <c r="V230" i="12"/>
  <c r="V592" i="12"/>
  <c r="V522" i="12"/>
  <c r="V503" i="12"/>
  <c r="V499" i="12"/>
  <c r="V496" i="12"/>
  <c r="V486" i="12"/>
  <c r="V479" i="12"/>
  <c r="V460" i="12"/>
  <c r="V454" i="12"/>
  <c r="V451" i="12"/>
  <c r="V443" i="12"/>
  <c r="V435" i="12"/>
  <c r="V427" i="12"/>
  <c r="V419" i="12"/>
  <c r="V411" i="12"/>
  <c r="V403" i="12"/>
  <c r="V395" i="12"/>
  <c r="V387" i="12"/>
  <c r="V379" i="12"/>
  <c r="V371" i="12"/>
  <c r="V363" i="12"/>
  <c r="V355" i="12"/>
  <c r="V347" i="12"/>
  <c r="V339" i="12"/>
  <c r="V331" i="12"/>
  <c r="V323" i="12"/>
  <c r="V315" i="12"/>
  <c r="V307" i="12"/>
  <c r="V299" i="12"/>
  <c r="V291" i="12"/>
  <c r="V283" i="12"/>
  <c r="V275" i="12"/>
  <c r="V267" i="12"/>
  <c r="V259" i="12"/>
  <c r="V251" i="12"/>
  <c r="V243" i="12"/>
  <c r="V235" i="12"/>
  <c r="V227" i="12"/>
  <c r="V219" i="12"/>
  <c r="V211" i="12"/>
  <c r="V203" i="12"/>
  <c r="V195" i="12"/>
  <c r="V187" i="12"/>
  <c r="V179" i="12"/>
  <c r="V171" i="12"/>
  <c r="V163" i="12"/>
  <c r="V155" i="12"/>
  <c r="V552" i="12"/>
  <c r="V538" i="12"/>
  <c r="V514" i="12"/>
  <c r="V482" i="12"/>
  <c r="V475" i="12"/>
  <c r="V472" i="12"/>
  <c r="V448" i="12"/>
  <c r="V440" i="12"/>
  <c r="V432" i="12"/>
  <c r="V424" i="12"/>
  <c r="V416" i="12"/>
  <c r="V408" i="12"/>
  <c r="V400" i="12"/>
  <c r="V392" i="12"/>
  <c r="V384" i="12"/>
  <c r="V376" i="12"/>
  <c r="V368" i="12"/>
  <c r="V360" i="12"/>
  <c r="V352" i="12"/>
  <c r="V344" i="12"/>
  <c r="V336" i="12"/>
  <c r="V328" i="12"/>
  <c r="V320" i="12"/>
  <c r="V312" i="12"/>
  <c r="V304" i="12"/>
  <c r="V296" i="12"/>
  <c r="V288" i="12"/>
  <c r="V280" i="12"/>
  <c r="V272" i="12"/>
  <c r="V264" i="12"/>
  <c r="V256" i="12"/>
  <c r="V248" i="12"/>
  <c r="V240" i="12"/>
  <c r="V232" i="12"/>
  <c r="V224" i="12"/>
  <c r="V216" i="12"/>
  <c r="V208" i="12"/>
  <c r="V200" i="12"/>
  <c r="V192" i="12"/>
  <c r="V184" i="12"/>
  <c r="V176" i="12"/>
  <c r="V168" i="12"/>
  <c r="V576" i="12"/>
  <c r="V506" i="12"/>
  <c r="V495" i="12"/>
  <c r="V462" i="12"/>
  <c r="V459" i="12"/>
  <c r="V456" i="12"/>
  <c r="V445" i="12"/>
  <c r="V437" i="12"/>
  <c r="V429" i="12"/>
  <c r="V421" i="12"/>
  <c r="V413" i="12"/>
  <c r="V405" i="12"/>
  <c r="V397" i="12"/>
  <c r="V389" i="12"/>
  <c r="V381" i="12"/>
  <c r="V373" i="12"/>
  <c r="V365" i="12"/>
  <c r="V357" i="12"/>
  <c r="V349" i="12"/>
  <c r="V341" i="12"/>
  <c r="V333" i="12"/>
  <c r="V325" i="12"/>
  <c r="V317" i="12"/>
  <c r="V309" i="12"/>
  <c r="V301" i="12"/>
  <c r="V293" i="12"/>
  <c r="V285" i="12"/>
  <c r="V277" i="12"/>
  <c r="V269" i="12"/>
  <c r="V261" i="12"/>
  <c r="V253" i="12"/>
  <c r="V245" i="12"/>
  <c r="V237" i="12"/>
  <c r="V229" i="12"/>
  <c r="V221" i="12"/>
  <c r="V213" i="12"/>
  <c r="V205" i="12"/>
  <c r="V197" i="12"/>
  <c r="V189" i="12"/>
  <c r="V167" i="12"/>
  <c r="V149" i="12"/>
  <c r="V141" i="12"/>
  <c r="V133" i="12"/>
  <c r="V125" i="12"/>
  <c r="V117" i="12"/>
  <c r="V109" i="12"/>
  <c r="V101" i="12"/>
  <c r="V93" i="12"/>
  <c r="V85" i="12"/>
  <c r="V77" i="12"/>
  <c r="V69" i="12"/>
  <c r="V61" i="12"/>
  <c r="V53" i="12"/>
  <c r="V45" i="12"/>
  <c r="V37" i="12"/>
  <c r="V29" i="12"/>
  <c r="V13" i="12"/>
  <c r="V19" i="12"/>
  <c r="V225" i="12"/>
  <c r="V198" i="12"/>
  <c r="V193" i="12"/>
  <c r="V181" i="12"/>
  <c r="V177" i="12"/>
  <c r="V174" i="12"/>
  <c r="V160" i="12"/>
  <c r="V157" i="12"/>
  <c r="V154" i="12"/>
  <c r="V146" i="12"/>
  <c r="V138" i="12"/>
  <c r="V130" i="12"/>
  <c r="V122" i="12"/>
  <c r="V114" i="12"/>
  <c r="V106" i="12"/>
  <c r="V98" i="12"/>
  <c r="V90" i="12"/>
  <c r="V82" i="12"/>
  <c r="V74" i="12"/>
  <c r="V66" i="12"/>
  <c r="V58" i="12"/>
  <c r="V50" i="12"/>
  <c r="V42" i="12"/>
  <c r="V34" i="12"/>
  <c r="V26" i="12"/>
  <c r="V18" i="12"/>
  <c r="V10" i="12"/>
  <c r="V5" i="12"/>
  <c r="V7" i="12"/>
  <c r="V3" i="12"/>
  <c r="V27" i="12"/>
  <c r="V249" i="12"/>
  <c r="V151" i="12"/>
  <c r="V143" i="12"/>
  <c r="V135" i="12"/>
  <c r="V127" i="12"/>
  <c r="V119" i="12"/>
  <c r="V111" i="12"/>
  <c r="V103" i="12"/>
  <c r="V95" i="12"/>
  <c r="V87" i="12"/>
  <c r="V79" i="12"/>
  <c r="V71" i="12"/>
  <c r="V63" i="12"/>
  <c r="V55" i="12"/>
  <c r="V47" i="12"/>
  <c r="V39" i="12"/>
  <c r="V31" i="12"/>
  <c r="V23" i="12"/>
  <c r="V15" i="12"/>
  <c r="V12" i="12"/>
  <c r="V206" i="12"/>
  <c r="V201" i="12"/>
  <c r="V180" i="12"/>
  <c r="V173" i="12"/>
  <c r="V169" i="12"/>
  <c r="V166" i="12"/>
  <c r="V148" i="12"/>
  <c r="V140" i="12"/>
  <c r="V132" i="12"/>
  <c r="V124" i="12"/>
  <c r="V116" i="12"/>
  <c r="V108" i="12"/>
  <c r="V100" i="12"/>
  <c r="V92" i="12"/>
  <c r="V84" i="12"/>
  <c r="V76" i="12"/>
  <c r="V68" i="12"/>
  <c r="V60" i="12"/>
  <c r="V52" i="12"/>
  <c r="V44" i="12"/>
  <c r="V36" i="12"/>
  <c r="V28" i="12"/>
  <c r="V20" i="12"/>
  <c r="V43" i="12"/>
  <c r="V35" i="12"/>
  <c r="V233" i="12"/>
  <c r="V183" i="12"/>
  <c r="V159" i="12"/>
  <c r="V156" i="12"/>
  <c r="V153" i="12"/>
  <c r="V145" i="12"/>
  <c r="V137" i="12"/>
  <c r="V129" i="12"/>
  <c r="V121" i="12"/>
  <c r="V113" i="12"/>
  <c r="V105" i="12"/>
  <c r="V97" i="12"/>
  <c r="V89" i="12"/>
  <c r="V81" i="12"/>
  <c r="V73" i="12"/>
  <c r="V65" i="12"/>
  <c r="V57" i="12"/>
  <c r="V49" i="12"/>
  <c r="V41" i="12"/>
  <c r="V33" i="12"/>
  <c r="V25" i="12"/>
  <c r="V17" i="12"/>
  <c r="V9" i="12"/>
  <c r="V257" i="12"/>
  <c r="V214" i="12"/>
  <c r="V209" i="12"/>
  <c r="V172" i="12"/>
  <c r="V165" i="12"/>
  <c r="V150" i="12"/>
  <c r="V142" i="12"/>
  <c r="V134" i="12"/>
  <c r="V126" i="12"/>
  <c r="V118" i="12"/>
  <c r="V110" i="12"/>
  <c r="V102" i="12"/>
  <c r="V94" i="12"/>
  <c r="V86" i="12"/>
  <c r="V78" i="12"/>
  <c r="V70" i="12"/>
  <c r="V62" i="12"/>
  <c r="V54" i="12"/>
  <c r="V46" i="12"/>
  <c r="V38" i="12"/>
  <c r="V30" i="12"/>
  <c r="V22" i="12"/>
  <c r="V14" i="12"/>
  <c r="V6" i="12"/>
  <c r="V59" i="12"/>
  <c r="V11" i="12"/>
  <c r="V175" i="12"/>
  <c r="V161" i="12"/>
  <c r="V147" i="12"/>
  <c r="V139" i="12"/>
  <c r="V131" i="12"/>
  <c r="V123" i="12"/>
  <c r="V115" i="12"/>
  <c r="V107" i="12"/>
  <c r="V99" i="12"/>
  <c r="V91" i="12"/>
  <c r="V83" i="12"/>
  <c r="V75" i="12"/>
  <c r="V67" i="12"/>
  <c r="V51" i="12"/>
  <c r="V4" i="12"/>
  <c r="V241" i="12"/>
  <c r="V222" i="12"/>
  <c r="V217" i="12"/>
  <c r="V190" i="12"/>
  <c r="V185" i="12"/>
  <c r="V182" i="12"/>
  <c r="V164" i="12"/>
  <c r="V158" i="12"/>
  <c r="V152" i="12"/>
  <c r="V144" i="12"/>
  <c r="V136" i="12"/>
  <c r="V128" i="12"/>
  <c r="V120" i="12"/>
  <c r="V112" i="12"/>
  <c r="V104" i="12"/>
  <c r="V96" i="12"/>
  <c r="V88" i="12"/>
  <c r="V80" i="12"/>
  <c r="V72" i="12"/>
  <c r="V64" i="12"/>
  <c r="V56" i="12"/>
  <c r="V48" i="12"/>
  <c r="V40" i="12"/>
  <c r="V32" i="12"/>
  <c r="V24" i="12"/>
  <c r="V16" i="12"/>
  <c r="V8" i="12"/>
  <c r="V2" i="12"/>
  <c r="V21" i="12"/>
  <c r="W4" i="12" l="1"/>
</calcChain>
</file>

<file path=xl/sharedStrings.xml><?xml version="1.0" encoding="utf-8"?>
<sst xmlns="http://schemas.openxmlformats.org/spreadsheetml/2006/main" count="16967" uniqueCount="1486">
  <si>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</si>
  <si>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</si>
  <si>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</si>
  <si>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</si>
  <si>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</si>
  <si>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</si>
  <si>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</si>
  <si>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</si>
  <si>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</si>
  <si>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</si>
  <si>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</si>
  <si>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</si>
  <si>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</si>
  <si>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</si>
  <si>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</si>
  <si>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</si>
  <si>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</si>
  <si>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</si>
  <si>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</si>
  <si>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</si>
  <si>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</si>
  <si>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</si>
  <si>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</si>
  <si>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</si>
  <si>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</si>
  <si>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</si>
  <si>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</si>
  <si>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</si>
  <si>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</si>
  <si>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</si>
  <si>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</si>
  <si>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</si>
  <si>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</si>
  <si>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</si>
  <si>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</si>
  <si>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</si>
  <si>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</si>
  <si>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</si>
  <si>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</si>
  <si>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</si>
  <si>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</si>
  <si>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</si>
  <si>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</si>
  <si>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</si>
  <si>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</si>
  <si>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</si>
  <si>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</si>
  <si>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</si>
  <si>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</si>
  <si>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</si>
  <si>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</si>
  <si>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</si>
  <si>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</si>
  <si>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</si>
  <si>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</si>
  <si>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</si>
  <si>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</si>
  <si>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</si>
  <si>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</si>
  <si>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</si>
  <si>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</si>
  <si>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</si>
  <si>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</si>
  <si>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</si>
  <si>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</si>
  <si>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</si>
  <si>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</si>
  <si>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</si>
  <si>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</si>
  <si>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</si>
  <si>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</si>
  <si>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</si>
  <si>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</si>
  <si>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</si>
  <si>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</si>
  <si>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</si>
  <si>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</si>
  <si>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</si>
  <si>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</si>
  <si>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</si>
  <si>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</si>
  <si>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</si>
  <si>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</si>
  <si>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</si>
  <si>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</si>
  <si>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</si>
  <si>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</si>
  <si>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</si>
  <si>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</si>
  <si>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</si>
  <si>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</si>
  <si>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</si>
  <si>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</si>
  <si>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</si>
  <si>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</si>
  <si>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</si>
  <si>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</si>
  <si>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</si>
  <si>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</si>
  <si>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</si>
  <si>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</si>
  <si>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</si>
  <si>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</si>
  <si>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</si>
  <si>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</si>
  <si>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</si>
  <si>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</si>
  <si>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</si>
  <si>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</si>
  <si>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</si>
  <si>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</si>
  <si>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</si>
  <si>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</si>
  <si>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</si>
  <si>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</si>
  <si>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</si>
  <si>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</si>
  <si>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</si>
  <si>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</si>
  <si>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</si>
  <si>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</si>
  <si>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</si>
  <si>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</si>
  <si>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</si>
  <si>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</si>
  <si>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</si>
  <si>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</si>
  <si>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</si>
  <si>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</si>
  <si>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</si>
  <si>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</si>
  <si>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</si>
  <si>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</si>
  <si>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</si>
  <si>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</si>
  <si>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</si>
  <si>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</si>
  <si>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</si>
  <si>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</si>
  <si>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</si>
  <si>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</si>
  <si>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</si>
  <si>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</si>
  <si>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</si>
  <si>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</si>
  <si>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</si>
  <si>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</si>
  <si>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</si>
  <si>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</si>
  <si>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</si>
  <si>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</si>
  <si>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</si>
  <si>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</si>
  <si>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</si>
  <si>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</si>
  <si>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</si>
  <si>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</si>
  <si>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</si>
  <si>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</si>
  <si>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</si>
  <si>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</si>
  <si>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</si>
  <si>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</si>
  <si>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</si>
  <si>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</si>
  <si>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</si>
  <si>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</si>
  <si>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</si>
  <si>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</si>
  <si>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</si>
  <si>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</si>
  <si>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</si>
  <si>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</si>
  <si>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</si>
  <si>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</si>
  <si>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</si>
  <si>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</si>
  <si>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</si>
  <si>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</si>
  <si>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</si>
  <si>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</si>
  <si>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</si>
  <si>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</si>
  <si>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</si>
  <si>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</si>
  <si>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</si>
  <si>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</si>
  <si>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</si>
  <si>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</si>
  <si>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</si>
  <si>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</si>
  <si>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</si>
  <si>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</si>
  <si>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</si>
  <si>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</si>
  <si>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</si>
  <si>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</si>
  <si>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</si>
  <si>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</si>
  <si>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</si>
  <si>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</si>
  <si>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</si>
  <si>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</si>
  <si>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</si>
  <si>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</si>
  <si>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</si>
  <si>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</si>
  <si>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</si>
  <si>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</si>
  <si>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</si>
  <si>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</si>
  <si>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</si>
  <si>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</si>
  <si>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</si>
  <si>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</si>
  <si>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</si>
  <si>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</si>
  <si>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</si>
  <si>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</si>
  <si>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</si>
  <si>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</si>
  <si>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</si>
  <si>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</si>
  <si>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</si>
  <si>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</si>
  <si>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</si>
  <si>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</si>
  <si>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</si>
  <si>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</si>
  <si>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</si>
  <si>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</si>
  <si>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</si>
  <si>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</si>
  <si>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</si>
  <si>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</si>
  <si>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</si>
  <si>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</si>
  <si>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</si>
  <si>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</si>
  <si>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</si>
  <si>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</si>
  <si>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</si>
  <si>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</si>
  <si>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</si>
  <si>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</si>
  <si>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</si>
  <si>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</si>
  <si>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</si>
  <si>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</si>
  <si>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</si>
  <si>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</si>
  <si>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</si>
  <si>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</si>
  <si>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</si>
  <si>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</si>
  <si>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</si>
  <si>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</si>
  <si>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</si>
  <si>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</si>
  <si>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</si>
  <si>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</si>
  <si>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</si>
  <si>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</si>
  <si>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</si>
  <si>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</si>
  <si>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</si>
  <si>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</si>
  <si>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</si>
  <si>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</si>
  <si>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</si>
  <si>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</si>
  <si>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</si>
  <si>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</si>
  <si>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</si>
  <si>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</si>
  <si>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</si>
  <si>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</si>
  <si>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</si>
  <si>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</si>
  <si>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</si>
  <si>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</si>
  <si>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</si>
  <si>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</si>
  <si>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</si>
  <si>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</si>
  <si>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</si>
  <si>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</si>
  <si>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</si>
  <si>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</si>
  <si>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</si>
  <si>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</si>
  <si>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</si>
  <si>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</si>
  <si>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</si>
  <si>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</si>
  <si>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</si>
  <si>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</si>
  <si>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</si>
  <si>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</si>
  <si>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</si>
  <si>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</si>
  <si>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</si>
  <si>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</si>
  <si>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</si>
  <si>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</si>
  <si>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</si>
  <si>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</si>
  <si>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</si>
  <si>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</si>
  <si>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</si>
  <si>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</si>
  <si>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</si>
  <si>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</si>
  <si>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</si>
  <si>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</si>
  <si>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</si>
  <si>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</si>
  <si>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</si>
  <si>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</si>
  <si>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</si>
  <si>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</si>
  <si>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</si>
  <si>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</si>
  <si>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</si>
  <si>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</si>
  <si>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</si>
  <si>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</si>
  <si>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</si>
  <si>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</si>
  <si>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</si>
  <si>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</si>
  <si>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</si>
  <si>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</si>
  <si>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</si>
  <si>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</si>
  <si>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</si>
  <si>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</si>
  <si>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</si>
  <si>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</si>
  <si>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</si>
  <si>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</si>
  <si>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</si>
  <si>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</si>
  <si>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</si>
  <si>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</si>
  <si>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</si>
  <si>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</si>
  <si>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</si>
  <si>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</si>
  <si>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</si>
  <si>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</si>
  <si>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</si>
  <si>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</si>
  <si>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</si>
  <si>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</si>
  <si>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</si>
  <si>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</si>
  <si>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</si>
  <si>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</si>
  <si>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</si>
  <si>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</si>
  <si>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</si>
  <si>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</si>
  <si>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</si>
  <si>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</si>
  <si>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</si>
  <si>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</si>
  <si>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</si>
  <si>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</si>
  <si>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</si>
  <si>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</si>
  <si>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</si>
  <si>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</si>
  <si>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</si>
  <si>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</si>
  <si>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</si>
  <si>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</si>
  <si>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</si>
  <si>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</si>
  <si>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</si>
  <si>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</si>
  <si>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</si>
  <si>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</si>
  <si>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</si>
  <si>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</si>
  <si>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</si>
  <si>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</si>
  <si>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</si>
  <si>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</si>
  <si>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</si>
  <si>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</si>
  <si>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</si>
  <si>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</si>
  <si>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</si>
  <si>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</si>
  <si>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</si>
  <si>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</si>
  <si>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</si>
  <si>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</si>
  <si>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</si>
  <si>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</si>
  <si>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</si>
  <si>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</si>
  <si>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</si>
  <si>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</si>
  <si>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</si>
  <si>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</si>
  <si>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</si>
  <si>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</si>
  <si>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</si>
  <si>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</si>
  <si>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</si>
  <si>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</si>
  <si>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</si>
  <si>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</si>
  <si>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</si>
  <si>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</si>
  <si>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</si>
  <si>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</si>
  <si>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</si>
  <si>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</si>
  <si>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</si>
  <si>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</si>
  <si>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</si>
  <si>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</si>
  <si>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</si>
  <si>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</si>
  <si>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</si>
  <si>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</si>
  <si>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</si>
  <si>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</si>
  <si>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</si>
  <si>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</si>
  <si>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</si>
  <si>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</si>
  <si>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</si>
  <si>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</si>
  <si>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</si>
  <si>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</si>
  <si>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</si>
  <si>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</si>
  <si>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</si>
  <si>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</si>
  <si>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</si>
  <si>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</si>
  <si>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</si>
  <si>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</si>
  <si>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</si>
  <si>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</si>
  <si>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</si>
  <si>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</si>
  <si>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</si>
  <si>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</si>
  <si>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</si>
  <si>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</si>
  <si>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</si>
  <si>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</si>
  <si>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</si>
  <si>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</si>
  <si>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</si>
  <si>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</si>
  <si>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</si>
  <si>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</si>
  <si>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</si>
  <si>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</si>
  <si>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</si>
  <si>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</si>
  <si>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</si>
  <si>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</si>
  <si>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</si>
  <si>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</si>
  <si>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</si>
  <si>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</si>
  <si>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</si>
  <si>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</si>
  <si>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</si>
  <si>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</si>
  <si>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</si>
  <si>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</si>
  <si>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</si>
  <si>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</si>
  <si>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</si>
  <si>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</si>
  <si>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</si>
  <si>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</si>
  <si>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</si>
  <si>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</si>
  <si>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</si>
  <si>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</si>
  <si>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</si>
  <si>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</si>
  <si>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</si>
  <si>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</si>
  <si>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</si>
  <si>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</si>
  <si>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</si>
  <si>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</si>
  <si>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</si>
  <si>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</si>
  <si>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</si>
  <si>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</si>
  <si>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</si>
  <si>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</si>
  <si>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</si>
  <si>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</si>
  <si>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</si>
  <si>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</si>
  <si>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</si>
  <si>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</si>
  <si>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</si>
  <si>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</si>
  <si>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</si>
  <si>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</si>
  <si>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</si>
  <si>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</si>
  <si>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</si>
  <si>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</si>
  <si>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</si>
  <si>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</si>
  <si>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</si>
  <si>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</si>
  <si>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</si>
  <si>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</si>
  <si>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</si>
  <si>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</si>
  <si>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</si>
  <si>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</si>
  <si>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</si>
  <si>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</si>
  <si>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</si>
  <si>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</si>
  <si>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</si>
  <si>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</si>
  <si>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</si>
  <si>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</si>
  <si>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</si>
  <si>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</si>
  <si>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</si>
  <si>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</si>
  <si>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</si>
  <si>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</si>
  <si>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</si>
  <si>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</si>
  <si>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</si>
  <si>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</si>
  <si>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</si>
  <si>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</si>
  <si>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</si>
  <si>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</si>
  <si>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</si>
  <si>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</si>
  <si>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</si>
  <si>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</si>
  <si>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</si>
  <si>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</si>
  <si>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</si>
  <si>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</si>
  <si>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</si>
  <si>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</si>
  <si>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</si>
  <si>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</si>
  <si>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</si>
  <si>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</si>
  <si>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</si>
  <si>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</si>
  <si>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</si>
  <si>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</si>
  <si>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</si>
  <si>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</si>
  <si>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</si>
  <si>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</si>
  <si>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</si>
  <si>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</si>
  <si>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</si>
  <si>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</si>
  <si>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</si>
  <si>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</si>
  <si>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</si>
  <si>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</si>
  <si>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</si>
  <si>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</si>
  <si>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</si>
  <si>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</si>
  <si>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</si>
  <si>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</si>
  <si>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</si>
  <si>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</si>
  <si>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</si>
  <si>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</si>
  <si>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</si>
  <si>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</si>
  <si>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</si>
  <si>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</si>
  <si>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</si>
  <si>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</si>
  <si>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</si>
  <si>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</si>
  <si>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</si>
  <si>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</si>
  <si>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</si>
  <si>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</si>
  <si>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</si>
  <si>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</si>
  <si>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</si>
  <si>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</si>
  <si>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</si>
  <si>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</si>
  <si>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</si>
  <si>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</si>
  <si>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</si>
  <si>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</si>
  <si>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</si>
  <si>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</si>
  <si>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</si>
  <si>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</si>
  <si>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</si>
  <si>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</si>
  <si>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</si>
  <si>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</si>
  <si>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</si>
  <si>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</si>
  <si>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</si>
  <si>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</si>
  <si>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</si>
  <si>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</si>
  <si>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</si>
  <si>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</si>
  <si>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</si>
  <si>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</si>
  <si>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</si>
  <si>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</si>
  <si>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</si>
  <si>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</si>
  <si>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</si>
  <si>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</si>
  <si>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</si>
  <si>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</si>
  <si>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</si>
  <si>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</si>
  <si>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</si>
  <si>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</si>
  <si>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</si>
  <si>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</si>
  <si>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</si>
  <si>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</si>
  <si>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</si>
  <si>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</si>
  <si>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</si>
  <si>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</si>
  <si>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</si>
  <si>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</si>
  <si>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</si>
  <si>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</si>
  <si>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</si>
  <si>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</si>
  <si>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</si>
  <si>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</si>
  <si>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</si>
  <si>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</si>
  <si>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</si>
  <si>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</si>
  <si>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</si>
  <si>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</si>
  <si>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</si>
  <si>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</si>
  <si>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</si>
  <si>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</si>
  <si>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</si>
  <si>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</si>
  <si>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</si>
  <si>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</si>
  <si>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</si>
  <si>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</si>
  <si>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</si>
  <si>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</si>
  <si>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</si>
  <si>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</si>
  <si>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</si>
  <si>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</si>
  <si>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</si>
  <si>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</si>
  <si>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</si>
  <si>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</si>
  <si>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</si>
  <si>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</si>
  <si>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</si>
  <si>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</si>
  <si>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</si>
  <si>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</si>
  <si>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</si>
  <si>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</si>
  <si>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</si>
  <si>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</si>
  <si>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</si>
  <si>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</si>
  <si>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</si>
  <si>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</si>
  <si>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</si>
  <si>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</si>
  <si>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</si>
  <si>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</si>
  <si>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</si>
  <si>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</si>
  <si>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</si>
  <si>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</si>
  <si>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</si>
  <si>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</si>
  <si>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</si>
  <si>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</si>
  <si>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</si>
  <si>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</si>
  <si>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</si>
  <si>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</si>
  <si>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</si>
  <si>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</si>
  <si>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</si>
  <si>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</si>
  <si>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</si>
  <si>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</si>
  <si>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</si>
  <si>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</si>
  <si>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</si>
  <si>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</si>
  <si>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</si>
  <si>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</si>
  <si>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</si>
  <si>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</si>
  <si>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</si>
  <si>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</si>
  <si>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</si>
  <si>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</si>
  <si>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</si>
  <si>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</si>
  <si>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</si>
  <si>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</si>
  <si>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</si>
  <si>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</si>
  <si>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</si>
  <si>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</si>
  <si>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</si>
  <si>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</si>
  <si>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</si>
  <si>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</si>
  <si>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</si>
  <si>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</si>
  <si>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</si>
  <si>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</si>
  <si>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</si>
  <si>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</si>
  <si>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</si>
  <si>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</si>
  <si>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</si>
  <si>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</si>
  <si>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</si>
  <si>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</si>
  <si>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</si>
  <si>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</si>
  <si>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</si>
  <si>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</si>
  <si>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</si>
  <si>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</si>
  <si>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</si>
  <si>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</si>
  <si>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</si>
  <si>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</si>
  <si>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</si>
  <si>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</si>
  <si>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</si>
  <si>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</si>
  <si>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</si>
  <si>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</si>
  <si>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</si>
  <si>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</si>
  <si>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</si>
  <si>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</si>
  <si>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</si>
  <si>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</si>
  <si>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</si>
  <si>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</si>
  <si>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</si>
  <si>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</si>
  <si>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</si>
  <si>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</si>
  <si>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</si>
  <si>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</si>
  <si>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</si>
  <si>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</si>
  <si>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</si>
  <si>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</si>
  <si>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</si>
  <si>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</si>
  <si>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</si>
  <si>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</si>
  <si>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</si>
  <si>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</si>
  <si>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</si>
  <si>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</si>
  <si>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</si>
  <si>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</si>
  <si>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</si>
  <si>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</si>
  <si>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</si>
  <si>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</si>
  <si>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</si>
  <si>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</si>
  <si>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</si>
  <si>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</si>
  <si>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</si>
  <si>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</si>
  <si>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</si>
  <si>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</si>
  <si>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</si>
  <si>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</si>
  <si>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</si>
  <si>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</si>
  <si>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</si>
  <si>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</si>
  <si>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</si>
  <si>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</si>
  <si>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</si>
  <si>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</si>
  <si>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</si>
  <si>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</si>
  <si>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</si>
  <si>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</si>
  <si>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</si>
  <si>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</si>
  <si>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</si>
  <si>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</si>
  <si>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</si>
  <si>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</si>
  <si>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</si>
  <si>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</si>
  <si>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</si>
  <si>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</si>
  <si>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</si>
  <si>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</si>
  <si>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</si>
  <si>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</si>
  <si>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</si>
  <si>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</si>
  <si>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</si>
  <si>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</si>
  <si>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</si>
  <si>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</si>
  <si>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</si>
  <si>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</si>
  <si>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</si>
  <si>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</si>
  <si>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</si>
  <si>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</si>
  <si>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</si>
  <si>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</si>
  <si>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</si>
  <si>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</si>
  <si>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</si>
  <si>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</si>
  <si>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</si>
  <si>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</si>
  <si>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</si>
  <si>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</si>
  <si>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</si>
  <si>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</si>
  <si>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</si>
  <si>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</si>
  <si>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</si>
  <si>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</si>
  <si>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</si>
  <si>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</si>
  <si>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</si>
  <si>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</si>
  <si>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</si>
  <si>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</si>
  <si>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</si>
  <si>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</si>
  <si>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</si>
  <si>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</si>
  <si>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</si>
  <si>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</si>
  <si>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</si>
  <si>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</si>
  <si>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</si>
  <si>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</si>
  <si>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</si>
  <si>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</si>
  <si>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</si>
  <si>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</si>
  <si>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</si>
  <si>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</si>
  <si>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</si>
  <si>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</si>
  <si>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</si>
  <si>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</si>
  <si>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</si>
  <si>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</si>
  <si>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</si>
  <si>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</si>
  <si>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</si>
  <si>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</si>
  <si>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</si>
  <si>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</si>
  <si>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</si>
  <si>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</si>
  <si>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</si>
  <si>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</si>
  <si>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</si>
  <si>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</si>
  <si>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</si>
  <si>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</si>
  <si>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</si>
  <si>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</si>
  <si>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</si>
  <si>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</si>
  <si>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</si>
  <si>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</si>
  <si>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</si>
  <si>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</si>
  <si>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</si>
  <si>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</si>
  <si>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</si>
  <si>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</si>
  <si>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</si>
  <si>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</si>
  <si>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</si>
  <si>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</si>
  <si>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</si>
  <si>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</si>
  <si>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</si>
  <si>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</si>
  <si>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</si>
  <si>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</si>
  <si>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</si>
  <si>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</si>
  <si>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</si>
  <si>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</si>
  <si>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</si>
  <si>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</si>
  <si>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</si>
  <si>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</si>
  <si>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</si>
  <si>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</si>
  <si>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</si>
  <si>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</si>
  <si>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</si>
  <si>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</si>
  <si>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</si>
  <si>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</si>
  <si>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</si>
  <si>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</si>
  <si>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</si>
  <si>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</si>
  <si>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</si>
  <si>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</si>
  <si>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</si>
  <si>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</si>
  <si>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</si>
  <si>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</si>
  <si>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</si>
  <si>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</si>
  <si>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</si>
  <si>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</si>
  <si>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</si>
  <si>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</si>
  <si>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</si>
  <si>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</si>
  <si>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</si>
  <si>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</si>
  <si>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</si>
  <si>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</si>
  <si>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</si>
  <si>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</si>
  <si>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</si>
  <si>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</si>
  <si>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</si>
  <si>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</si>
  <si>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</si>
  <si>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</si>
  <si>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</si>
  <si>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</si>
  <si>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</si>
  <si>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</si>
  <si>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</si>
  <si>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</si>
  <si>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</si>
  <si>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</si>
  <si>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</si>
  <si>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</si>
  <si>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</si>
  <si>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</si>
  <si>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</si>
  <si>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</si>
  <si>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</si>
  <si>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</si>
  <si>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</si>
  <si>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</si>
  <si>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</si>
  <si>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</si>
  <si>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</si>
  <si>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</si>
  <si>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</si>
  <si>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</si>
  <si>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</si>
  <si>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</si>
  <si>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</si>
  <si>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</si>
  <si>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</si>
  <si>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</si>
  <si>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</si>
  <si>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</si>
  <si>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</si>
  <si>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</si>
  <si>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</si>
  <si>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</si>
  <si>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</si>
  <si>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</si>
  <si>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</si>
  <si>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</si>
  <si>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</si>
  <si>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</si>
  <si>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</si>
  <si>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</si>
  <si>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</si>
  <si>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</si>
  <si>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</si>
  <si>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</si>
  <si>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</si>
  <si>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</si>
  <si>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</si>
  <si>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</si>
  <si>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</si>
  <si>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</si>
  <si>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</si>
  <si>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</si>
  <si>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</si>
  <si>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</si>
  <si>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</si>
  <si>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</si>
  <si>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</si>
  <si>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</si>
  <si>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</si>
  <si>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</si>
  <si>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</si>
  <si>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</si>
  <si>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</si>
  <si>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</si>
  <si>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</si>
  <si>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</si>
  <si>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</si>
  <si>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</si>
  <si>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</si>
  <si>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</si>
  <si>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</si>
  <si>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</si>
  <si>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</si>
  <si>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</si>
  <si>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</si>
  <si>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</si>
  <si>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</si>
  <si>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</si>
  <si>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</si>
  <si>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</si>
  <si>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</si>
  <si>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</si>
  <si>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</si>
  <si>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</si>
  <si>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</si>
  <si>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</si>
  <si>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</si>
  <si>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</si>
  <si>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</si>
  <si>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</si>
  <si>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</si>
  <si>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</si>
  <si>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</si>
  <si>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</si>
  <si>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</si>
  <si>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</si>
  <si>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</si>
  <si>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</si>
  <si>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</si>
  <si>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</si>
  <si>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</si>
  <si>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</si>
  <si>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</si>
  <si>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</si>
  <si>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</si>
  <si>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</si>
  <si>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</si>
  <si>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</si>
  <si>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</si>
  <si>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</si>
  <si>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</si>
  <si>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</si>
  <si>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</si>
  <si>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</si>
  <si>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</si>
  <si>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</si>
  <si>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</si>
  <si>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</si>
  <si>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</si>
  <si>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</si>
  <si>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</si>
  <si>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</si>
  <si>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</si>
  <si>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</si>
  <si>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</si>
  <si>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</si>
  <si>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</si>
  <si>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</si>
  <si>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</si>
  <si>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</si>
  <si>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</si>
  <si>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</si>
  <si>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</si>
  <si>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</si>
  <si>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</si>
  <si>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</si>
  <si>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</si>
  <si>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</si>
  <si>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</si>
  <si>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</si>
  <si>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</si>
  <si>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</si>
  <si>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</si>
  <si>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</si>
  <si>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</si>
  <si>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</si>
  <si>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</si>
  <si>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</si>
  <si>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</si>
  <si>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</si>
  <si>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</si>
  <si>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</si>
  <si>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</si>
  <si>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</si>
  <si>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</si>
  <si>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</si>
  <si>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</si>
  <si>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</si>
  <si>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</si>
  <si>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</si>
  <si>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</si>
  <si>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</si>
  <si>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</si>
  <si>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</si>
  <si>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</si>
  <si>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</si>
  <si>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</si>
  <si>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</si>
  <si>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</si>
  <si>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</si>
  <si>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</si>
  <si>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</si>
  <si>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</si>
  <si>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</si>
  <si>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</si>
  <si>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</si>
  <si>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</si>
  <si>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</si>
  <si>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</si>
  <si>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</si>
  <si>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</si>
  <si>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</si>
  <si>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</si>
  <si>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</si>
  <si>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</si>
  <si>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</si>
  <si>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</si>
  <si>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</si>
  <si>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</si>
  <si>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</si>
  <si>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</si>
  <si>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</si>
  <si>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</si>
  <si>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</si>
  <si>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</si>
  <si>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</si>
  <si>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</si>
  <si>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</si>
  <si>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</si>
  <si>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</si>
  <si>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</si>
  <si>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</si>
  <si>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</si>
  <si>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</si>
  <si>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</si>
  <si>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</si>
  <si>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</si>
  <si>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</si>
  <si>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</si>
  <si>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</si>
  <si>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</si>
  <si>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</si>
  <si>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</si>
  <si>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</si>
  <si>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</si>
  <si>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</si>
  <si>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</si>
  <si>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</si>
  <si>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</si>
  <si>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</si>
  <si>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</si>
  <si>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</si>
  <si>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</si>
  <si>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</si>
  <si>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</si>
  <si>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</si>
  <si>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</si>
  <si>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</si>
  <si>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</si>
  <si>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</si>
  <si>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</si>
  <si>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</si>
  <si>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</si>
  <si>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</si>
  <si>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</si>
  <si>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</si>
  <si>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</si>
  <si>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</si>
  <si>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</si>
  <si>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</si>
  <si>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</si>
  <si>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</si>
  <si>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</si>
  <si>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</si>
  <si>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</si>
  <si>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</si>
  <si>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</si>
  <si>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</si>
  <si>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</si>
  <si>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</si>
  <si>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</si>
  <si>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</si>
  <si>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</si>
  <si>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</si>
  <si>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</si>
  <si>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</si>
  <si>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</si>
  <si>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</si>
  <si>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</si>
  <si>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</si>
  <si>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</si>
  <si>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</si>
  <si>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</si>
  <si>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</si>
  <si>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</si>
  <si>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</si>
  <si>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</si>
  <si>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</si>
  <si>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</si>
  <si>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</si>
  <si>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</si>
  <si>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</si>
  <si>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</si>
  <si>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</si>
  <si>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</si>
  <si>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</si>
  <si>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</si>
  <si>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</si>
  <si>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</si>
  <si>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</si>
  <si>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</si>
  <si>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</si>
  <si>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</si>
  <si>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</si>
  <si>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</si>
  <si>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</si>
  <si>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</si>
  <si>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</si>
  <si>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</si>
  <si>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</si>
  <si>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</si>
  <si>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</si>
  <si>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</si>
  <si>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</si>
  <si>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</si>
  <si>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</si>
  <si>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</si>
  <si>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</si>
  <si>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</si>
  <si>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</si>
  <si>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</si>
  <si>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</si>
  <si>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</si>
  <si>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</si>
  <si>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</si>
  <si>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</si>
  <si>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</si>
  <si>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</si>
  <si>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</si>
  <si>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</si>
  <si>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</si>
  <si>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</si>
  <si>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</si>
  <si>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</si>
  <si>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</si>
  <si>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</si>
  <si>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</si>
  <si>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</si>
  <si>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</si>
  <si>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</si>
  <si>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</si>
  <si>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</si>
  <si>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</si>
  <si>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</si>
  <si>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</si>
  <si>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</si>
  <si>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</si>
  <si>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</si>
  <si>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</si>
  <si>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</si>
  <si>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</si>
  <si>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</si>
  <si>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</si>
  <si>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</si>
  <si>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</si>
  <si>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</si>
  <si>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</si>
  <si>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</si>
  <si>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</si>
  <si>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</si>
  <si>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</si>
  <si>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</si>
  <si>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</si>
  <si>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</si>
  <si>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</si>
  <si>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</si>
  <si>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</si>
  <si>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</si>
  <si>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</si>
  <si>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</si>
  <si>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</si>
  <si>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</si>
  <si>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</si>
  <si>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</si>
  <si>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</si>
  <si>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</si>
  <si>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</si>
  <si>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</si>
  <si>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</si>
  <si>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</si>
  <si>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</si>
  <si>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</si>
  <si>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</si>
  <si>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</si>
  <si>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</si>
  <si>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</si>
  <si>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</si>
  <si>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</si>
  <si>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</si>
  <si>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</si>
  <si>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</si>
  <si>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</si>
  <si>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</si>
  <si>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</si>
  <si>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</si>
  <si>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</si>
  <si>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</si>
  <si>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</si>
  <si>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</si>
  <si>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</si>
  <si>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</si>
  <si>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</si>
  <si>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</si>
  <si>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</si>
  <si>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</si>
  <si>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</si>
  <si>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</si>
  <si>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</si>
  <si>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</si>
  <si>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</si>
  <si>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</si>
  <si>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</si>
  <si>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</si>
  <si>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</si>
  <si>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</si>
  <si>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</si>
  <si>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</si>
  <si>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</si>
  <si>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</si>
  <si>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</si>
  <si>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</si>
  <si>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</si>
  <si>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</si>
  <si>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</si>
  <si>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</si>
  <si>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</si>
  <si>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</si>
  <si>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</si>
  <si>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</si>
  <si>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</si>
  <si>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</si>
  <si>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</si>
  <si>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</si>
  <si>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</si>
  <si>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</si>
  <si>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</si>
  <si>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</si>
  <si>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</si>
  <si>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</si>
  <si>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</si>
  <si>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</si>
  <si>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</si>
  <si>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</si>
  <si>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</si>
  <si>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</si>
  <si>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</si>
  <si>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</si>
  <si>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</si>
  <si>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</si>
  <si>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</si>
  <si>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</si>
  <si>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</si>
  <si>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</si>
  <si>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</si>
  <si>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</si>
  <si>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</si>
  <si>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</si>
  <si>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</si>
  <si>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</si>
  <si>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</si>
  <si>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</si>
  <si>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</si>
  <si>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</si>
  <si>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</si>
  <si>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</si>
  <si>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</si>
  <si>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</si>
  <si>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</si>
  <si>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</si>
  <si>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</si>
  <si>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</si>
  <si>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</si>
  <si>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</si>
  <si>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</si>
  <si>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</si>
  <si>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</si>
  <si>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</si>
  <si>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</si>
  <si>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</si>
  <si>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</si>
  <si>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</si>
  <si>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</si>
  <si>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</si>
  <si>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</si>
  <si>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</si>
  <si>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</si>
  <si>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</si>
  <si>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</si>
  <si>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</si>
  <si>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</si>
  <si>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</si>
  <si>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</si>
  <si>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Count of user_id</t>
  </si>
  <si>
    <t>Duplicate?</t>
  </si>
  <si>
    <t>Duplicate ID</t>
  </si>
  <si>
    <t>Number of duplicates</t>
  </si>
  <si>
    <t>IQR</t>
  </si>
  <si>
    <t>OUTLIER/OR NOT</t>
  </si>
  <si>
    <t>Yes</t>
  </si>
  <si>
    <t>Column Labels</t>
  </si>
  <si>
    <t>(blank)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</si>
  <si>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</si>
  <si>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</si>
  <si>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</si>
  <si>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</si>
  <si>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</si>
  <si>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</si>
  <si>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</si>
  <si>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</si>
  <si>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</si>
  <si>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</si>
  <si>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</si>
  <si>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</si>
  <si>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Value</t>
  </si>
  <si>
    <t>Test</t>
  </si>
  <si>
    <t>Two-Proportion Z-Test</t>
  </si>
  <si>
    <t>Control Conversion Rate</t>
  </si>
  <si>
    <t>Treatment Conversion Rate</t>
  </si>
  <si>
    <t>Z-score</t>
  </si>
  <si>
    <t>P-value</t>
  </si>
  <si>
    <t>Alpha</t>
  </si>
  <si>
    <t>Decision</t>
  </si>
  <si>
    <t>Reject H₀</t>
  </si>
  <si>
    <t>Conclusion</t>
  </si>
  <si>
    <t>Treatment significantly improves paid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</si>
</sst>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color theme="0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  <xf numFmtId="10" fontId="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6.955669907409" createdVersion="8" refreshedVersion="8" minRefreshableVersion="3" recordCount="1408" xr:uid="{9A3F91D2-E185-4DAE-AFEF-A15E03C3AF2F}">
  <cacheSource type="worksheet">
    <worksheetSource ref="A1:P1409" sheet="experiment_data"/>
  </cacheSource>
  <cacheFields count="16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7.509237268518" createdVersion="8" refreshedVersion="8" minRefreshableVersion="3" recordCount="1408" xr:uid="{FB272A54-94CD-4BC1-8122-9202E3CE31CE}">
  <cacheSource type="worksheet">
    <worksheetSource ref="A1:R1409" sheet="experiment_data"/>
  </cacheSource>
  <cacheFields count="18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?" numFmtId="0">
      <sharedItems containsSemiMixedTypes="0" containsString="0" containsNumber="1" containsInteger="1" minValue="1" maxValue="2"/>
    </cacheField>
    <cacheField name="Duplicate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s v="North"/>
    <s v="Desktop"/>
    <s v="Email"/>
    <s v="Basic"/>
    <n v="0"/>
    <n v="0"/>
    <n v="0"/>
    <n v="0"/>
    <n v="0"/>
    <n v="0"/>
    <n v="0"/>
    <m/>
    <n v="45.7"/>
  </r>
  <r>
    <s v="USR-100002"/>
    <d v="2025-03-08T00:00:00"/>
    <x v="0"/>
    <s v="West"/>
    <s v="Mobile"/>
    <s v="Organic"/>
    <s v="Free"/>
    <n v="1"/>
    <n v="0"/>
    <n v="0"/>
    <n v="0"/>
    <n v="0"/>
    <n v="0"/>
    <n v="0"/>
    <m/>
    <n v="48.6"/>
  </r>
  <r>
    <s v="USR-100003"/>
    <d v="2025-04-24T00:00:00"/>
    <x v="0"/>
    <s v="East"/>
    <s v="Mobile"/>
    <s v="Paid Search"/>
    <s v="Premium"/>
    <n v="1"/>
    <n v="0"/>
    <n v="0"/>
    <n v="0"/>
    <n v="0"/>
    <n v="1"/>
    <n v="0"/>
    <m/>
    <n v="35.4"/>
  </r>
  <r>
    <s v="USR-100004"/>
    <d v="2025-05-04T00:00:00"/>
    <x v="0"/>
    <s v="South"/>
    <s v="Mobile"/>
    <s v="Email"/>
    <s v="Basic"/>
    <n v="1"/>
    <n v="0"/>
    <n v="0"/>
    <n v="0"/>
    <n v="0"/>
    <n v="0"/>
    <n v="0"/>
    <m/>
    <n v="64.599999999999994"/>
  </r>
  <r>
    <s v="USR-100005"/>
    <d v="2025-02-12T00:00:00"/>
    <x v="0"/>
    <s v="North"/>
    <s v="Tablet"/>
    <s v="Organic"/>
    <s v="Free"/>
    <n v="0"/>
    <n v="0"/>
    <n v="0"/>
    <n v="0"/>
    <n v="0"/>
    <n v="0"/>
    <n v="0"/>
    <m/>
    <n v="66.599999999999994"/>
  </r>
  <r>
    <s v="USR-100006"/>
    <d v="2025-01-28T00:00:00"/>
    <x v="0"/>
    <s v="East"/>
    <s v="Mobile"/>
    <s v="Organic"/>
    <s v="Premium"/>
    <n v="1"/>
    <n v="0"/>
    <n v="0"/>
    <n v="0"/>
    <n v="0"/>
    <n v="0"/>
    <n v="0"/>
    <m/>
    <n v="40.799999999999997"/>
  </r>
  <r>
    <s v="USR-100007"/>
    <d v="2025-04-08T00:00:00"/>
    <x v="0"/>
    <s v="East"/>
    <s v="Mobile"/>
    <s v="Paid Search"/>
    <s v="Basic"/>
    <n v="1"/>
    <n v="1"/>
    <n v="0"/>
    <n v="0"/>
    <n v="0"/>
    <n v="0"/>
    <n v="0"/>
    <m/>
    <n v="57.1"/>
  </r>
  <r>
    <s v="USR-100008"/>
    <d v="2025-05-17T00:00:00"/>
    <x v="0"/>
    <s v="South"/>
    <s v="Mobile"/>
    <s v="Paid Search"/>
    <s v="Free"/>
    <n v="0"/>
    <n v="0"/>
    <n v="0"/>
    <n v="0"/>
    <n v="0"/>
    <n v="0"/>
    <n v="0"/>
    <m/>
    <n v="36.4"/>
  </r>
  <r>
    <s v="USR-100009"/>
    <d v="2025-02-23T00:00:00"/>
    <x v="0"/>
    <s v="South"/>
    <s v="Tablet"/>
    <s v="Referral"/>
    <s v="Basic"/>
    <n v="0"/>
    <n v="0"/>
    <n v="0"/>
    <n v="0"/>
    <n v="0"/>
    <n v="0"/>
    <n v="0"/>
    <m/>
    <n v="55.4"/>
  </r>
  <r>
    <s v="USR-100010"/>
    <d v="2025-05-29T00:00:00"/>
    <x v="0"/>
    <s v="West"/>
    <s v="Desktop"/>
    <s v="Social"/>
    <s v="Free"/>
    <n v="1"/>
    <n v="0"/>
    <n v="0"/>
    <n v="0"/>
    <n v="0"/>
    <n v="0"/>
    <n v="0"/>
    <m/>
    <n v="57.3"/>
  </r>
  <r>
    <s v="USR-100011"/>
    <d v="2025-04-30T00:00:00"/>
    <x v="0"/>
    <s v="East"/>
    <s v="Mobile"/>
    <s v="Paid Search"/>
    <s v="Basic"/>
    <n v="1"/>
    <n v="1"/>
    <n v="1"/>
    <n v="0"/>
    <n v="0"/>
    <n v="0"/>
    <n v="0"/>
    <m/>
    <n v="63.6"/>
  </r>
  <r>
    <s v="USR-100012"/>
    <d v="2025-03-16T00:00:00"/>
    <x v="0"/>
    <s v="East"/>
    <s v="Mobile"/>
    <s v="Social"/>
    <s v="Premium"/>
    <n v="1"/>
    <n v="1"/>
    <n v="1"/>
    <n v="0"/>
    <n v="0"/>
    <n v="1"/>
    <n v="0"/>
    <m/>
    <n v="80.400000000000006"/>
  </r>
  <r>
    <s v="USR-100013"/>
    <d v="2025-02-07T00:00:00"/>
    <x v="0"/>
    <s v="South"/>
    <s v="Desktop"/>
    <s v="Email"/>
    <s v="Basic"/>
    <n v="1"/>
    <n v="0"/>
    <n v="0"/>
    <n v="0"/>
    <n v="0"/>
    <n v="0"/>
    <n v="0"/>
    <m/>
    <n v="62.4"/>
  </r>
  <r>
    <s v="USR-100014"/>
    <d v="2025-03-02T00:00:00"/>
    <x v="0"/>
    <s v="West"/>
    <s v="Mobile"/>
    <s v="Social"/>
    <s v="Basic"/>
    <n v="1"/>
    <n v="0"/>
    <n v="0"/>
    <n v="0"/>
    <n v="0"/>
    <n v="0"/>
    <n v="0"/>
    <m/>
    <n v="82.4"/>
  </r>
  <r>
    <s v="USR-100015"/>
    <d v="2025-05-30T00:00:00"/>
    <x v="0"/>
    <s v="South"/>
    <s v="Mobile"/>
    <s v="Organic"/>
    <s v="Basic"/>
    <n v="0"/>
    <n v="0"/>
    <n v="0"/>
    <n v="0"/>
    <n v="0"/>
    <n v="0"/>
    <n v="0"/>
    <m/>
    <n v="61.2"/>
  </r>
  <r>
    <s v="USR-100016"/>
    <d v="2025-03-25T00:00:00"/>
    <x v="0"/>
    <s v="South"/>
    <s v="Mobile"/>
    <s v="Social"/>
    <s v="Basic"/>
    <n v="1"/>
    <n v="0"/>
    <n v="0"/>
    <n v="0"/>
    <n v="0"/>
    <n v="0"/>
    <n v="0"/>
    <m/>
    <n v="68.900000000000006"/>
  </r>
  <r>
    <s v="USR-100017"/>
    <d v="2025-03-27T00:00:00"/>
    <x v="0"/>
    <s v="East"/>
    <s v="Desktop"/>
    <s v="Paid Search"/>
    <s v="Free"/>
    <n v="1"/>
    <n v="1"/>
    <n v="1"/>
    <n v="0"/>
    <n v="0"/>
    <n v="0"/>
    <n v="0"/>
    <m/>
    <n v="71.900000000000006"/>
  </r>
  <r>
    <s v="USR-100018"/>
    <d v="2025-05-28T00:00:00"/>
    <x v="0"/>
    <s v="South"/>
    <s v="Desktop"/>
    <s v="Paid Search"/>
    <s v="Free"/>
    <n v="0"/>
    <n v="0"/>
    <n v="0"/>
    <n v="0"/>
    <n v="0"/>
    <n v="0"/>
    <n v="0"/>
    <m/>
    <n v="50.5"/>
  </r>
  <r>
    <s v="USR-100019"/>
    <d v="2025-02-15T00:00:00"/>
    <x v="0"/>
    <s v="North"/>
    <s v="Desktop"/>
    <s v="Paid Search"/>
    <s v="Basic"/>
    <n v="0"/>
    <n v="0"/>
    <n v="0"/>
    <n v="0"/>
    <n v="0"/>
    <n v="0"/>
    <n v="0"/>
    <m/>
    <n v="49.3"/>
  </r>
  <r>
    <s v="USR-100020"/>
    <d v="2025-05-05T00:00:00"/>
    <x v="0"/>
    <s v="West"/>
    <s v="Desktop"/>
    <s v="Organic"/>
    <s v="Basic"/>
    <n v="0"/>
    <n v="0"/>
    <n v="0"/>
    <n v="0"/>
    <n v="0"/>
    <n v="2"/>
    <n v="0"/>
    <m/>
    <n v="60.9"/>
  </r>
  <r>
    <s v="USR-100021"/>
    <d v="2025-04-13T00:00:00"/>
    <x v="0"/>
    <s v="East"/>
    <s v="Mobile"/>
    <s v="Social"/>
    <s v="Free"/>
    <n v="1"/>
    <n v="0"/>
    <n v="0"/>
    <n v="0"/>
    <n v="0"/>
    <n v="0"/>
    <n v="0"/>
    <m/>
    <n v="62.7"/>
  </r>
  <r>
    <s v="USR-100022"/>
    <d v="2025-05-07T00:00:00"/>
    <x v="0"/>
    <s v="North"/>
    <s v="Desktop"/>
    <s v="Paid Search"/>
    <s v="Free"/>
    <n v="0"/>
    <n v="0"/>
    <n v="0"/>
    <n v="0"/>
    <n v="0"/>
    <n v="0"/>
    <n v="0"/>
    <m/>
    <n v="52.7"/>
  </r>
  <r>
    <s v="USR-100023"/>
    <d v="2025-05-25T00:00:00"/>
    <x v="0"/>
    <s v="North"/>
    <s v="Desktop"/>
    <s v="Organic"/>
    <s v="Free"/>
    <n v="0"/>
    <n v="0"/>
    <n v="0"/>
    <n v="0"/>
    <n v="0"/>
    <n v="0"/>
    <n v="0"/>
    <m/>
    <n v="54"/>
  </r>
  <r>
    <s v="USR-100024"/>
    <d v="2025-04-01T00:00:00"/>
    <x v="0"/>
    <s v="East"/>
    <s v="Mobile"/>
    <s v="Paid Search"/>
    <s v="Premium"/>
    <n v="1"/>
    <n v="1"/>
    <n v="0"/>
    <n v="0"/>
    <n v="0"/>
    <n v="0"/>
    <n v="0"/>
    <m/>
    <n v="51.6"/>
  </r>
  <r>
    <s v="USR-100025"/>
    <d v="2025-02-22T00:00:00"/>
    <x v="0"/>
    <s v="North"/>
    <s v="Mobile"/>
    <s v="Paid Search"/>
    <s v="Premium"/>
    <n v="0"/>
    <n v="0"/>
    <n v="0"/>
    <n v="0"/>
    <n v="0"/>
    <n v="2"/>
    <n v="0"/>
    <m/>
    <n v="66.900000000000006"/>
  </r>
  <r>
    <s v="USR-100026"/>
    <d v="2025-03-24T00:00:00"/>
    <x v="0"/>
    <s v="East"/>
    <s v="Mobile"/>
    <s v="Organic"/>
    <s v="Basic"/>
    <n v="0"/>
    <n v="0"/>
    <n v="0"/>
    <n v="0"/>
    <n v="0"/>
    <n v="0"/>
    <n v="0"/>
    <m/>
    <n v="67.400000000000006"/>
  </r>
  <r>
    <s v="USR-100027"/>
    <d v="2025-02-13T00:00:00"/>
    <x v="0"/>
    <s v="North"/>
    <s v="Mobile"/>
    <s v="Organic"/>
    <s v="Free"/>
    <n v="0"/>
    <n v="0"/>
    <n v="0"/>
    <n v="0"/>
    <n v="0"/>
    <n v="0"/>
    <n v="0"/>
    <m/>
    <n v="58.8"/>
  </r>
  <r>
    <s v="USR-100028"/>
    <d v="2025-05-30T00:00:00"/>
    <x v="0"/>
    <s v="South"/>
    <s v="Mobile"/>
    <s v="Organic"/>
    <s v="Free"/>
    <n v="1"/>
    <n v="0"/>
    <n v="0"/>
    <n v="0"/>
    <n v="0"/>
    <n v="0"/>
    <n v="0"/>
    <m/>
    <n v="73.8"/>
  </r>
  <r>
    <s v="USR-100029"/>
    <d v="2025-01-20T00:00:00"/>
    <x v="0"/>
    <s v="East"/>
    <s v="Tablet"/>
    <s v="Organic"/>
    <s v="Basic"/>
    <n v="0"/>
    <n v="0"/>
    <n v="0"/>
    <n v="0"/>
    <n v="0"/>
    <n v="0"/>
    <n v="0"/>
    <m/>
    <n v="60.1"/>
  </r>
  <r>
    <s v="USR-100030"/>
    <d v="2025-05-19T00:00:00"/>
    <x v="0"/>
    <s v="East"/>
    <s v="Mobile"/>
    <s v="Social"/>
    <s v="Basic"/>
    <n v="1"/>
    <n v="1"/>
    <n v="1"/>
    <n v="0"/>
    <n v="0"/>
    <n v="0"/>
    <n v="0"/>
    <m/>
    <n v="41"/>
  </r>
  <r>
    <s v="USR-100031"/>
    <d v="2025-02-18T00:00:00"/>
    <x v="0"/>
    <s v="South"/>
    <s v="Mobile"/>
    <s v="Organic"/>
    <s v="Basic"/>
    <n v="1"/>
    <n v="0"/>
    <n v="0"/>
    <n v="0"/>
    <n v="0"/>
    <n v="0"/>
    <n v="0"/>
    <m/>
    <n v="80.3"/>
  </r>
  <r>
    <s v="USR-100032"/>
    <d v="2025-02-13T00:00:00"/>
    <x v="0"/>
    <s v="East"/>
    <s v="Mobile"/>
    <s v="Organic"/>
    <s v="Free"/>
    <n v="0"/>
    <n v="0"/>
    <n v="0"/>
    <n v="0"/>
    <n v="0"/>
    <n v="0"/>
    <n v="0"/>
    <m/>
    <n v="67.599999999999994"/>
  </r>
  <r>
    <s v="USR-100033"/>
    <d v="2025-03-08T00:00:00"/>
    <x v="0"/>
    <s v="East"/>
    <s v="Desktop"/>
    <s v="Referral"/>
    <s v="Premium"/>
    <n v="0"/>
    <n v="0"/>
    <n v="0"/>
    <n v="0"/>
    <n v="0"/>
    <n v="0"/>
    <n v="0"/>
    <m/>
    <n v="64"/>
  </r>
  <r>
    <s v="USR-100034"/>
    <d v="2025-01-11T00:00:00"/>
    <x v="0"/>
    <s v="North"/>
    <s v="Mobile"/>
    <s v="Paid Search"/>
    <s v="Free"/>
    <n v="1"/>
    <n v="1"/>
    <n v="0"/>
    <n v="0"/>
    <n v="0"/>
    <n v="0"/>
    <n v="0"/>
    <m/>
    <n v="27.2"/>
  </r>
  <r>
    <s v="USR-100035"/>
    <d v="2025-02-12T00:00:00"/>
    <x v="0"/>
    <s v="North"/>
    <s v="Desktop"/>
    <s v="Organic"/>
    <s v="Free"/>
    <n v="1"/>
    <n v="0"/>
    <n v="0"/>
    <n v="0"/>
    <n v="0"/>
    <n v="0"/>
    <n v="0"/>
    <m/>
    <n v="85.4"/>
  </r>
  <r>
    <s v="USR-100036"/>
    <d v="2025-04-13T00:00:00"/>
    <x v="0"/>
    <s v="East"/>
    <s v="Desktop"/>
    <s v="Organic"/>
    <s v="Basic"/>
    <n v="1"/>
    <n v="0"/>
    <n v="0"/>
    <n v="0"/>
    <n v="0"/>
    <n v="0"/>
    <n v="0"/>
    <m/>
    <n v="75.900000000000006"/>
  </r>
  <r>
    <s v="USR-100037"/>
    <d v="2025-05-09T00:00:00"/>
    <x v="0"/>
    <s v="East"/>
    <s v="Mobile"/>
    <s v="Organic"/>
    <s v="Premium"/>
    <n v="1"/>
    <n v="0"/>
    <n v="0"/>
    <n v="0"/>
    <n v="0"/>
    <n v="1"/>
    <n v="0"/>
    <m/>
    <n v="34.799999999999997"/>
  </r>
  <r>
    <s v="USR-100038"/>
    <d v="2025-01-20T00:00:00"/>
    <x v="0"/>
    <s v="East"/>
    <s v="Mobile"/>
    <s v="Organic"/>
    <s v="Free"/>
    <n v="1"/>
    <n v="1"/>
    <n v="1"/>
    <n v="0"/>
    <n v="0"/>
    <n v="3"/>
    <n v="0"/>
    <m/>
    <n v="48.9"/>
  </r>
  <r>
    <s v="USR-100039"/>
    <d v="2025-05-13T00:00:00"/>
    <x v="0"/>
    <s v="East"/>
    <s v="Mobile"/>
    <s v="Email"/>
    <s v="Premium"/>
    <n v="1"/>
    <n v="0"/>
    <n v="0"/>
    <n v="0"/>
    <n v="0"/>
    <n v="0"/>
    <n v="0"/>
    <m/>
    <n v="41.5"/>
  </r>
  <r>
    <s v="USR-100040"/>
    <d v="2025-04-07T00:00:00"/>
    <x v="0"/>
    <s v="North"/>
    <s v="Desktop"/>
    <s v="Organic"/>
    <s v="Basic"/>
    <n v="1"/>
    <n v="0"/>
    <n v="0"/>
    <n v="0"/>
    <n v="0"/>
    <n v="0"/>
    <n v="0"/>
    <m/>
    <n v="51.5"/>
  </r>
  <r>
    <s v="USR-100041"/>
    <d v="2025-03-31T00:00:00"/>
    <x v="0"/>
    <s v="North"/>
    <s v="Desktop"/>
    <s v="Organic"/>
    <s v="Free"/>
    <n v="0"/>
    <n v="0"/>
    <n v="0"/>
    <n v="0"/>
    <n v="0"/>
    <n v="0"/>
    <n v="0"/>
    <m/>
    <n v="53.2"/>
  </r>
  <r>
    <s v="USR-100042"/>
    <d v="2025-01-25T00:00:00"/>
    <x v="0"/>
    <s v="East"/>
    <s v="Mobile"/>
    <s v="Email"/>
    <s v="Premium"/>
    <n v="0"/>
    <n v="0"/>
    <n v="0"/>
    <n v="0"/>
    <n v="0"/>
    <n v="0"/>
    <n v="0"/>
    <m/>
    <n v="55.6"/>
  </r>
  <r>
    <s v="USR-100043"/>
    <d v="2025-02-14T00:00:00"/>
    <x v="0"/>
    <s v="South"/>
    <s v="Desktop"/>
    <s v="Organic"/>
    <s v="Free"/>
    <n v="0"/>
    <n v="0"/>
    <n v="0"/>
    <n v="0"/>
    <n v="0"/>
    <n v="0"/>
    <n v="0"/>
    <m/>
    <n v="73"/>
  </r>
  <r>
    <s v="USR-100044"/>
    <d v="2025-02-27T00:00:00"/>
    <x v="0"/>
    <s v="East"/>
    <s v="Mobile"/>
    <s v="Email"/>
    <s v="Free"/>
    <n v="1"/>
    <n v="0"/>
    <n v="0"/>
    <n v="0"/>
    <n v="0"/>
    <n v="0"/>
    <n v="0"/>
    <m/>
    <n v="65"/>
  </r>
  <r>
    <s v="USR-100045"/>
    <d v="2025-03-28T00:00:00"/>
    <x v="0"/>
    <s v="East"/>
    <s v="Mobile"/>
    <s v="Social"/>
    <s v="Free"/>
    <n v="1"/>
    <n v="0"/>
    <n v="0"/>
    <n v="0"/>
    <n v="0"/>
    <n v="4"/>
    <n v="0"/>
    <m/>
    <n v="56.3"/>
  </r>
  <r>
    <s v="USR-100046"/>
    <d v="2025-05-25T00:00:00"/>
    <x v="0"/>
    <s v="East"/>
    <s v="Mobile"/>
    <s v="Referral"/>
    <s v="Premium"/>
    <n v="1"/>
    <n v="0"/>
    <n v="0"/>
    <n v="0"/>
    <n v="0"/>
    <n v="0"/>
    <n v="0"/>
    <m/>
    <n v="62.4"/>
  </r>
  <r>
    <s v="USR-100047"/>
    <d v="2025-05-05T00:00:00"/>
    <x v="0"/>
    <s v="West"/>
    <s v="Desktop"/>
    <s v="Organic"/>
    <s v="Free"/>
    <n v="1"/>
    <n v="1"/>
    <n v="1"/>
    <n v="0"/>
    <n v="0"/>
    <n v="0"/>
    <n v="0"/>
    <m/>
    <n v="58.1"/>
  </r>
  <r>
    <s v="USR-100048"/>
    <d v="2025-05-16T00:00:00"/>
    <x v="0"/>
    <s v="North"/>
    <s v="Mobile"/>
    <s v="Organic"/>
    <s v="Free"/>
    <n v="1"/>
    <n v="1"/>
    <n v="1"/>
    <n v="0"/>
    <n v="0"/>
    <n v="0"/>
    <n v="0"/>
    <m/>
    <n v="80.8"/>
  </r>
  <r>
    <s v="USR-100049"/>
    <d v="2025-01-08T00:00:00"/>
    <x v="0"/>
    <s v="North"/>
    <s v="Mobile"/>
    <s v="Social"/>
    <s v="Free"/>
    <n v="1"/>
    <n v="1"/>
    <n v="0"/>
    <n v="0"/>
    <n v="0"/>
    <n v="0"/>
    <n v="0"/>
    <m/>
    <n v="42.9"/>
  </r>
  <r>
    <s v="USR-100050"/>
    <d v="2025-01-06T00:00:00"/>
    <x v="0"/>
    <s v="West"/>
    <s v="Desktop"/>
    <s v="Paid Search"/>
    <s v="Free"/>
    <n v="1"/>
    <n v="0"/>
    <n v="0"/>
    <n v="0"/>
    <n v="0"/>
    <n v="0"/>
    <n v="0"/>
    <m/>
    <n v="52.7"/>
  </r>
  <r>
    <s v="USR-100051"/>
    <d v="2025-01-12T00:00:00"/>
    <x v="0"/>
    <s v="North"/>
    <s v="Mobile"/>
    <s v="Social"/>
    <s v="Basic"/>
    <n v="0"/>
    <n v="0"/>
    <n v="0"/>
    <n v="0"/>
    <n v="0"/>
    <n v="0"/>
    <n v="0"/>
    <m/>
    <n v="46.9"/>
  </r>
  <r>
    <s v="USR-100052"/>
    <d v="2025-02-14T00:00:00"/>
    <x v="0"/>
    <s v="East"/>
    <s v="Desktop"/>
    <s v="Email"/>
    <s v="Premium"/>
    <n v="1"/>
    <n v="0"/>
    <n v="0"/>
    <n v="0"/>
    <n v="0"/>
    <n v="0"/>
    <n v="0"/>
    <m/>
    <n v="63"/>
  </r>
  <r>
    <s v="USR-100053"/>
    <d v="2025-03-10T00:00:00"/>
    <x v="0"/>
    <s v="South"/>
    <s v="Tablet"/>
    <s v="Organic"/>
    <s v="Free"/>
    <n v="0"/>
    <n v="0"/>
    <n v="0"/>
    <n v="0"/>
    <n v="0"/>
    <n v="0"/>
    <n v="0"/>
    <m/>
    <n v="53.6"/>
  </r>
  <r>
    <s v="USR-100054"/>
    <d v="2025-04-20T00:00:00"/>
    <x v="0"/>
    <s v="West"/>
    <s v="Desktop"/>
    <s v="Organic"/>
    <s v="Basic"/>
    <n v="0"/>
    <n v="0"/>
    <n v="0"/>
    <n v="0"/>
    <n v="0"/>
    <n v="0"/>
    <n v="0"/>
    <m/>
    <n v="49.6"/>
  </r>
  <r>
    <s v="USR-100055"/>
    <d v="2025-02-19T00:00:00"/>
    <x v="0"/>
    <s v="South"/>
    <s v="Mobile"/>
    <s v="Organic"/>
    <s v="Free"/>
    <n v="0"/>
    <n v="0"/>
    <n v="0"/>
    <n v="0"/>
    <n v="0"/>
    <n v="0"/>
    <n v="0"/>
    <m/>
    <n v="54"/>
  </r>
  <r>
    <s v="USR-100056"/>
    <d v="2025-05-17T00:00:00"/>
    <x v="0"/>
    <s v="South"/>
    <s v="Mobile"/>
    <s v="Social"/>
    <s v="Basic"/>
    <n v="1"/>
    <n v="0"/>
    <n v="0"/>
    <n v="0"/>
    <n v="0"/>
    <n v="2"/>
    <n v="0"/>
    <m/>
    <n v="50"/>
  </r>
  <r>
    <s v="USR-100057"/>
    <d v="2025-04-01T00:00:00"/>
    <x v="0"/>
    <s v="East"/>
    <s v="Mobile"/>
    <s v="Social"/>
    <s v="Basic"/>
    <n v="0"/>
    <n v="0"/>
    <n v="0"/>
    <n v="0"/>
    <n v="0"/>
    <n v="0"/>
    <n v="0"/>
    <m/>
    <n v="48.1"/>
  </r>
  <r>
    <s v="USR-100058"/>
    <d v="2025-02-04T00:00:00"/>
    <x v="0"/>
    <s v="North"/>
    <s v="Desktop"/>
    <s v="Organic"/>
    <s v="Free"/>
    <n v="1"/>
    <n v="0"/>
    <n v="0"/>
    <n v="0"/>
    <n v="0"/>
    <n v="0"/>
    <n v="0"/>
    <m/>
    <n v="49.6"/>
  </r>
  <r>
    <s v="USR-100059"/>
    <d v="2025-04-14T00:00:00"/>
    <x v="0"/>
    <s v="North"/>
    <s v="Mobile"/>
    <s v="Social"/>
    <s v="Free"/>
    <n v="0"/>
    <n v="0"/>
    <n v="0"/>
    <n v="0"/>
    <n v="0"/>
    <n v="2"/>
    <n v="0"/>
    <m/>
    <n v="48.9"/>
  </r>
  <r>
    <s v="USR-100060"/>
    <d v="2025-01-01T00:00:00"/>
    <x v="0"/>
    <s v="West"/>
    <s v="Mobile"/>
    <s v="Social"/>
    <s v="Free"/>
    <n v="1"/>
    <n v="1"/>
    <n v="1"/>
    <n v="1"/>
    <n v="240.42"/>
    <n v="0"/>
    <n v="0"/>
    <n v="16"/>
    <n v="56.5"/>
  </r>
  <r>
    <s v="USR-100061"/>
    <d v="2025-04-02T00:00:00"/>
    <x v="0"/>
    <s v="South"/>
    <s v="Mobile"/>
    <s v="Referral"/>
    <s v="Free"/>
    <n v="1"/>
    <n v="0"/>
    <n v="0"/>
    <n v="0"/>
    <n v="0"/>
    <n v="0"/>
    <n v="0"/>
    <m/>
    <n v="53.7"/>
  </r>
  <r>
    <s v="USR-100062"/>
    <d v="2025-03-29T00:00:00"/>
    <x v="0"/>
    <s v="North"/>
    <s v="Mobile"/>
    <s v="Social"/>
    <s v="Premium"/>
    <n v="0"/>
    <n v="0"/>
    <n v="0"/>
    <n v="0"/>
    <n v="0"/>
    <n v="0"/>
    <n v="0"/>
    <m/>
    <n v="62.2"/>
  </r>
  <r>
    <s v="USR-100063"/>
    <d v="2025-05-15T00:00:00"/>
    <x v="0"/>
    <s v="South"/>
    <s v="Desktop"/>
    <s v="Organic"/>
    <s v="Free"/>
    <n v="1"/>
    <n v="0"/>
    <n v="0"/>
    <n v="0"/>
    <n v="0"/>
    <n v="0"/>
    <n v="0"/>
    <m/>
    <n v="50.2"/>
  </r>
  <r>
    <s v="USR-100064"/>
    <d v="2025-04-11T00:00:00"/>
    <x v="0"/>
    <s v="North"/>
    <s v="Mobile"/>
    <s v="Organic"/>
    <s v="Basic"/>
    <n v="1"/>
    <n v="0"/>
    <n v="0"/>
    <n v="0"/>
    <n v="0"/>
    <n v="0"/>
    <n v="0"/>
    <m/>
    <n v="74.3"/>
  </r>
  <r>
    <s v="USR-100065"/>
    <d v="2025-03-07T00:00:00"/>
    <x v="0"/>
    <s v="South"/>
    <s v="Desktop"/>
    <s v="Paid Search"/>
    <s v="Free"/>
    <n v="1"/>
    <n v="0"/>
    <n v="0"/>
    <n v="0"/>
    <n v="0"/>
    <n v="0"/>
    <n v="0"/>
    <m/>
    <n v="58"/>
  </r>
  <r>
    <s v="USR-100066"/>
    <d v="2025-05-30T00:00:00"/>
    <x v="0"/>
    <s v="South"/>
    <s v="Mobile"/>
    <s v="Organic"/>
    <s v="Free"/>
    <n v="0"/>
    <n v="0"/>
    <n v="0"/>
    <n v="0"/>
    <n v="0"/>
    <n v="0"/>
    <n v="0"/>
    <m/>
    <n v="46.7"/>
  </r>
  <r>
    <s v="USR-100067"/>
    <d v="2025-01-07T00:00:00"/>
    <x v="0"/>
    <s v="South"/>
    <s v="Desktop"/>
    <s v="Organic"/>
    <s v="Premium"/>
    <n v="1"/>
    <n v="0"/>
    <n v="0"/>
    <n v="0"/>
    <n v="0"/>
    <n v="1"/>
    <n v="0"/>
    <m/>
    <n v="49.6"/>
  </r>
  <r>
    <s v="USR-100068"/>
    <d v="2025-05-08T00:00:00"/>
    <x v="0"/>
    <s v="West"/>
    <s v="Mobile"/>
    <s v="Social"/>
    <s v="Free"/>
    <n v="0"/>
    <n v="0"/>
    <n v="0"/>
    <n v="0"/>
    <n v="0"/>
    <n v="0"/>
    <n v="0"/>
    <m/>
    <n v="60.4"/>
  </r>
  <r>
    <s v="USR-100069"/>
    <d v="2025-03-19T00:00:00"/>
    <x v="0"/>
    <s v="East"/>
    <s v="Desktop"/>
    <s v="Email"/>
    <s v="Free"/>
    <n v="1"/>
    <n v="1"/>
    <n v="1"/>
    <n v="0"/>
    <n v="0"/>
    <n v="0"/>
    <n v="0"/>
    <m/>
    <n v="55.3"/>
  </r>
  <r>
    <s v="USR-100070"/>
    <d v="2025-05-16T00:00:00"/>
    <x v="0"/>
    <s v="North"/>
    <s v="Desktop"/>
    <s v="Organic"/>
    <s v="Free"/>
    <n v="0"/>
    <n v="0"/>
    <n v="0"/>
    <n v="0"/>
    <n v="0"/>
    <n v="0"/>
    <n v="0"/>
    <m/>
    <n v="56.2"/>
  </r>
  <r>
    <s v="USR-100071"/>
    <d v="2025-03-08T00:00:00"/>
    <x v="0"/>
    <s v="West"/>
    <s v="Mobile"/>
    <s v="Email"/>
    <s v="Free"/>
    <n v="0"/>
    <n v="0"/>
    <n v="0"/>
    <n v="0"/>
    <n v="0"/>
    <n v="0"/>
    <n v="0"/>
    <m/>
    <n v="29.4"/>
  </r>
  <r>
    <s v="USR-100072"/>
    <d v="2025-03-08T00:00:00"/>
    <x v="0"/>
    <s v="East"/>
    <s v="Mobile"/>
    <s v="Email"/>
    <s v="Free"/>
    <n v="1"/>
    <n v="0"/>
    <n v="0"/>
    <n v="0"/>
    <n v="0"/>
    <n v="0"/>
    <n v="0"/>
    <m/>
    <n v="54.2"/>
  </r>
  <r>
    <s v="USR-100073"/>
    <d v="2025-01-14T00:00:00"/>
    <x v="0"/>
    <s v="East"/>
    <s v="Desktop"/>
    <s v="Paid Search"/>
    <s v="Basic"/>
    <n v="0"/>
    <n v="0"/>
    <n v="0"/>
    <n v="0"/>
    <n v="0"/>
    <n v="0"/>
    <n v="0"/>
    <m/>
    <n v="46.4"/>
  </r>
  <r>
    <s v="USR-100074"/>
    <d v="2025-02-10T00:00:00"/>
    <x v="0"/>
    <s v="South"/>
    <s v="Mobile"/>
    <s v="Paid Search"/>
    <s v="Basic"/>
    <n v="0"/>
    <n v="0"/>
    <n v="0"/>
    <n v="0"/>
    <n v="0"/>
    <n v="0"/>
    <n v="0"/>
    <m/>
    <n v="54.5"/>
  </r>
  <r>
    <s v="USR-100075"/>
    <d v="2025-03-17T00:00:00"/>
    <x v="0"/>
    <s v="North"/>
    <s v="Mobile"/>
    <s v="Organic"/>
    <s v="Free"/>
    <n v="0"/>
    <n v="0"/>
    <n v="0"/>
    <n v="0"/>
    <n v="0"/>
    <n v="0"/>
    <n v="0"/>
    <m/>
    <n v="58.5"/>
  </r>
  <r>
    <s v="USR-100076"/>
    <d v="2025-01-09T00:00:00"/>
    <x v="0"/>
    <s v="South"/>
    <s v="Mobile"/>
    <s v="Email"/>
    <s v="Free"/>
    <n v="0"/>
    <n v="0"/>
    <n v="0"/>
    <n v="0"/>
    <n v="0"/>
    <n v="0"/>
    <n v="0"/>
    <m/>
    <n v="75.900000000000006"/>
  </r>
  <r>
    <s v="USR-100077"/>
    <d v="2025-04-17T00:00:00"/>
    <x v="0"/>
    <s v="North"/>
    <s v="Mobile"/>
    <s v="Referral"/>
    <s v="Free"/>
    <n v="0"/>
    <n v="0"/>
    <n v="0"/>
    <n v="0"/>
    <n v="0"/>
    <n v="1"/>
    <n v="0"/>
    <m/>
    <n v="84.9"/>
  </r>
  <r>
    <s v="USR-100078"/>
    <d v="2025-01-16T00:00:00"/>
    <x v="0"/>
    <s v="North"/>
    <s v="Mobile"/>
    <s v="Organic"/>
    <s v="Free"/>
    <n v="0"/>
    <n v="0"/>
    <n v="0"/>
    <n v="0"/>
    <n v="0"/>
    <n v="2"/>
    <n v="0"/>
    <m/>
    <n v="48.4"/>
  </r>
  <r>
    <s v="USR-100079"/>
    <d v="2025-02-20T00:00:00"/>
    <x v="0"/>
    <s v="West"/>
    <s v="Desktop"/>
    <s v="Organic"/>
    <s v="Free"/>
    <n v="1"/>
    <n v="1"/>
    <n v="1"/>
    <n v="1"/>
    <n v="457.51"/>
    <n v="0"/>
    <n v="0"/>
    <n v="7"/>
    <n v="38"/>
  </r>
  <r>
    <s v="USR-100080"/>
    <d v="2025-05-21T00:00:00"/>
    <x v="0"/>
    <s v="East"/>
    <s v="Mobile"/>
    <s v="Social"/>
    <s v="Free"/>
    <n v="1"/>
    <n v="0"/>
    <n v="0"/>
    <n v="0"/>
    <n v="0"/>
    <n v="0"/>
    <n v="0"/>
    <m/>
    <n v="44.2"/>
  </r>
  <r>
    <s v="USR-100081"/>
    <d v="2025-05-08T00:00:00"/>
    <x v="0"/>
    <s v="South"/>
    <s v="Mobile"/>
    <s v="Organic"/>
    <s v="Free"/>
    <n v="1"/>
    <n v="1"/>
    <n v="1"/>
    <n v="0"/>
    <n v="0"/>
    <n v="0"/>
    <n v="0"/>
    <m/>
    <n v="81.2"/>
  </r>
  <r>
    <s v="USR-100082"/>
    <d v="2025-03-08T00:00:00"/>
    <x v="0"/>
    <s v="South"/>
    <s v="Mobile"/>
    <s v="Referral"/>
    <s v="Free"/>
    <n v="1"/>
    <n v="1"/>
    <n v="0"/>
    <n v="0"/>
    <n v="0"/>
    <n v="0"/>
    <n v="0"/>
    <m/>
    <n v="63.8"/>
  </r>
  <r>
    <s v="USR-100083"/>
    <d v="2025-04-01T00:00:00"/>
    <x v="0"/>
    <s v="South"/>
    <s v="Desktop"/>
    <s v="Email"/>
    <s v="Free"/>
    <n v="0"/>
    <n v="0"/>
    <n v="0"/>
    <n v="0"/>
    <n v="0"/>
    <n v="0"/>
    <n v="0"/>
    <m/>
    <n v="64.7"/>
  </r>
  <r>
    <s v="USR-100084"/>
    <d v="2025-03-03T00:00:00"/>
    <x v="0"/>
    <s v="West"/>
    <s v="Mobile"/>
    <s v="Social"/>
    <s v="Basic"/>
    <n v="0"/>
    <n v="0"/>
    <n v="0"/>
    <n v="0"/>
    <n v="0"/>
    <n v="0"/>
    <n v="0"/>
    <m/>
    <n v="60.4"/>
  </r>
  <r>
    <s v="USR-100085"/>
    <d v="2025-04-16T00:00:00"/>
    <x v="0"/>
    <s v="South"/>
    <s v="Mobile"/>
    <s v="Paid Search"/>
    <s v="Free"/>
    <n v="0"/>
    <n v="0"/>
    <n v="0"/>
    <n v="0"/>
    <n v="0"/>
    <n v="0"/>
    <n v="0"/>
    <m/>
    <n v="66.599999999999994"/>
  </r>
  <r>
    <s v="USR-100086"/>
    <d v="2025-01-09T00:00:00"/>
    <x v="0"/>
    <s v="North"/>
    <s v="Desktop"/>
    <s v="Organic"/>
    <s v="Free"/>
    <n v="1"/>
    <n v="0"/>
    <n v="0"/>
    <n v="0"/>
    <n v="0"/>
    <n v="0"/>
    <n v="0"/>
    <m/>
    <n v="50.9"/>
  </r>
  <r>
    <s v="USR-100087"/>
    <d v="2025-01-22T00:00:00"/>
    <x v="0"/>
    <s v="West"/>
    <s v="Desktop"/>
    <s v="Social"/>
    <s v="Basic"/>
    <n v="0"/>
    <n v="0"/>
    <n v="0"/>
    <n v="0"/>
    <n v="0"/>
    <n v="0"/>
    <n v="0"/>
    <m/>
    <n v="51"/>
  </r>
  <r>
    <s v="USR-100088"/>
    <d v="2025-04-30T00:00:00"/>
    <x v="0"/>
    <s v="South"/>
    <s v="Mobile"/>
    <s v="Email"/>
    <s v="Premium"/>
    <n v="0"/>
    <n v="0"/>
    <n v="0"/>
    <n v="0"/>
    <n v="0"/>
    <n v="0"/>
    <n v="0"/>
    <m/>
    <n v="65.8"/>
  </r>
  <r>
    <s v="USR-100089"/>
    <d v="2025-04-25T00:00:00"/>
    <x v="0"/>
    <s v="North"/>
    <s v="Mobile"/>
    <s v="Referral"/>
    <s v="Basic"/>
    <n v="1"/>
    <n v="0"/>
    <n v="0"/>
    <n v="0"/>
    <n v="0"/>
    <n v="0"/>
    <n v="0"/>
    <m/>
    <n v="61.8"/>
  </r>
  <r>
    <s v="USR-100090"/>
    <d v="2025-02-01T00:00:00"/>
    <x v="0"/>
    <s v="North"/>
    <s v="Mobile"/>
    <s v="Organic"/>
    <s v="Basic"/>
    <n v="1"/>
    <n v="0"/>
    <n v="0"/>
    <n v="0"/>
    <n v="0"/>
    <n v="0"/>
    <n v="0"/>
    <m/>
    <n v="54.5"/>
  </r>
  <r>
    <s v="USR-100091"/>
    <d v="2025-04-23T00:00:00"/>
    <x v="0"/>
    <s v="South"/>
    <s v="Desktop"/>
    <s v="Organic"/>
    <s v="Free"/>
    <n v="1"/>
    <n v="0"/>
    <n v="0"/>
    <n v="0"/>
    <n v="0"/>
    <n v="0"/>
    <n v="0"/>
    <m/>
    <n v="72.2"/>
  </r>
  <r>
    <s v="USR-100092"/>
    <d v="2025-02-27T00:00:00"/>
    <x v="0"/>
    <s v="South"/>
    <s v="Mobile"/>
    <s v="Social"/>
    <s v="Free"/>
    <n v="1"/>
    <n v="0"/>
    <n v="0"/>
    <n v="0"/>
    <n v="0"/>
    <n v="0"/>
    <n v="0"/>
    <m/>
    <n v="42.3"/>
  </r>
  <r>
    <s v="USR-100093"/>
    <d v="2025-04-09T00:00:00"/>
    <x v="0"/>
    <s v="East"/>
    <s v="Desktop"/>
    <s v="Organic"/>
    <s v="Basic"/>
    <n v="1"/>
    <n v="0"/>
    <n v="0"/>
    <n v="0"/>
    <n v="0"/>
    <n v="0"/>
    <n v="0"/>
    <m/>
    <n v="76.2"/>
  </r>
  <r>
    <s v="USR-100094"/>
    <d v="2025-05-13T00:00:00"/>
    <x v="0"/>
    <s v="South"/>
    <s v="Tablet"/>
    <s v="Organic"/>
    <s v="Premium"/>
    <n v="1"/>
    <n v="1"/>
    <n v="1"/>
    <n v="0"/>
    <n v="0"/>
    <n v="1"/>
    <n v="0"/>
    <m/>
    <n v="37.4"/>
  </r>
  <r>
    <s v="USR-100095"/>
    <d v="2025-04-13T00:00:00"/>
    <x v="0"/>
    <s v="East"/>
    <s v="Mobile"/>
    <s v="Organic"/>
    <s v="Free"/>
    <n v="0"/>
    <n v="0"/>
    <n v="0"/>
    <n v="0"/>
    <n v="0"/>
    <n v="0"/>
    <n v="0"/>
    <m/>
    <n v="84.2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0097"/>
    <d v="2025-02-14T00:00:00"/>
    <x v="0"/>
    <s v="West"/>
    <s v="Mobile"/>
    <s v="Organic"/>
    <s v="Basic"/>
    <n v="1"/>
    <n v="0"/>
    <n v="0"/>
    <n v="0"/>
    <n v="0"/>
    <n v="0"/>
    <n v="0"/>
    <m/>
    <n v="53.5"/>
  </r>
  <r>
    <s v="USR-100098"/>
    <d v="2025-02-11T00:00:00"/>
    <x v="0"/>
    <s v="North"/>
    <s v="Desktop"/>
    <s v="Organic"/>
    <s v="Premium"/>
    <n v="1"/>
    <n v="0"/>
    <n v="0"/>
    <n v="0"/>
    <n v="0"/>
    <n v="0"/>
    <n v="0"/>
    <m/>
    <n v="63.2"/>
  </r>
  <r>
    <s v="USR-100099"/>
    <d v="2025-02-11T00:00:00"/>
    <x v="0"/>
    <s v="East"/>
    <s v="Desktop"/>
    <s v="Social"/>
    <s v="Free"/>
    <n v="1"/>
    <n v="1"/>
    <n v="1"/>
    <n v="1"/>
    <n v="363.32"/>
    <n v="0"/>
    <n v="0"/>
    <n v="9"/>
    <n v="55.9"/>
  </r>
  <r>
    <s v="USR-100100"/>
    <d v="2025-05-26T00:00:00"/>
    <x v="0"/>
    <s v="North"/>
    <s v="Mobile"/>
    <s v="Organic"/>
    <s v="Free"/>
    <n v="1"/>
    <n v="0"/>
    <n v="0"/>
    <n v="0"/>
    <n v="0"/>
    <n v="0"/>
    <n v="0"/>
    <m/>
    <n v="63.5"/>
  </r>
  <r>
    <s v="USR-100101"/>
    <d v="2025-03-22T00:00:00"/>
    <x v="0"/>
    <s v="North"/>
    <s v="Mobile"/>
    <s v="Paid Search"/>
    <s v="Basic"/>
    <n v="1"/>
    <n v="0"/>
    <n v="0"/>
    <n v="0"/>
    <n v="0"/>
    <n v="0"/>
    <n v="0"/>
    <m/>
    <n v="51.5"/>
  </r>
  <r>
    <s v="USR-100102"/>
    <d v="2025-04-08T00:00:00"/>
    <x v="0"/>
    <s v="West"/>
    <s v="Mobile"/>
    <s v="Paid Search"/>
    <s v="Free"/>
    <n v="1"/>
    <n v="0"/>
    <n v="0"/>
    <n v="0"/>
    <n v="0"/>
    <n v="0"/>
    <n v="0"/>
    <m/>
    <n v="74.400000000000006"/>
  </r>
  <r>
    <s v="USR-100103"/>
    <d v="2025-04-14T00:00:00"/>
    <x v="0"/>
    <s v="North"/>
    <s v="Desktop"/>
    <s v="Social"/>
    <s v="Free"/>
    <n v="1"/>
    <n v="1"/>
    <n v="1"/>
    <n v="1"/>
    <n v="3887.98"/>
    <n v="0"/>
    <n v="0"/>
    <n v="13"/>
    <n v="60.2"/>
  </r>
  <r>
    <s v="USR-100104"/>
    <d v="2025-03-27T00:00:00"/>
    <x v="0"/>
    <s v="South"/>
    <s v="Mobile"/>
    <s v="Email"/>
    <s v="Free"/>
    <n v="1"/>
    <n v="0"/>
    <n v="0"/>
    <n v="0"/>
    <n v="0"/>
    <n v="1"/>
    <n v="0"/>
    <m/>
    <n v="67.2"/>
  </r>
  <r>
    <s v="USR-100105"/>
    <d v="2025-01-05T00:00:00"/>
    <x v="0"/>
    <s v="South"/>
    <s v="Mobile"/>
    <s v="Social"/>
    <s v="Free"/>
    <n v="1"/>
    <n v="1"/>
    <n v="1"/>
    <n v="0"/>
    <n v="0"/>
    <n v="0"/>
    <n v="0"/>
    <m/>
    <n v="79.599999999999994"/>
  </r>
  <r>
    <s v="USR-100106"/>
    <d v="2025-01-25T00:00:00"/>
    <x v="0"/>
    <s v="South"/>
    <s v="Mobile"/>
    <s v="Social"/>
    <s v="Basic"/>
    <n v="1"/>
    <n v="1"/>
    <n v="1"/>
    <n v="1"/>
    <n v="8610.7199999999993"/>
    <n v="0"/>
    <n v="0"/>
    <n v="6"/>
    <n v="61"/>
  </r>
  <r>
    <s v="USR-100107"/>
    <d v="2025-01-23T00:00:00"/>
    <x v="0"/>
    <s v="West"/>
    <s v="Mobile"/>
    <s v="Email"/>
    <s v="Free"/>
    <n v="1"/>
    <n v="1"/>
    <n v="1"/>
    <n v="0"/>
    <n v="0"/>
    <n v="4"/>
    <n v="0"/>
    <m/>
    <n v="51.1"/>
  </r>
  <r>
    <s v="USR-100108"/>
    <d v="2025-05-25T00:00:00"/>
    <x v="0"/>
    <s v="East"/>
    <s v="Desktop"/>
    <s v="Referral"/>
    <s v="Free"/>
    <n v="1"/>
    <n v="0"/>
    <n v="0"/>
    <n v="0"/>
    <n v="0"/>
    <n v="0"/>
    <n v="0"/>
    <m/>
    <n v="92.1"/>
  </r>
  <r>
    <s v="USR-100109"/>
    <d v="2025-03-22T00:00:00"/>
    <x v="0"/>
    <s v="South"/>
    <s v="Mobile"/>
    <s v="Referral"/>
    <s v="Basic"/>
    <n v="0"/>
    <n v="0"/>
    <n v="0"/>
    <n v="0"/>
    <n v="0"/>
    <n v="0"/>
    <n v="0"/>
    <m/>
    <n v="82.1"/>
  </r>
  <r>
    <s v="USR-100110"/>
    <d v="2025-02-12T00:00:00"/>
    <x v="0"/>
    <s v="West"/>
    <s v="Desktop"/>
    <s v="Paid Search"/>
    <s v="Basic"/>
    <n v="1"/>
    <n v="0"/>
    <n v="0"/>
    <n v="0"/>
    <n v="0"/>
    <n v="1"/>
    <n v="0"/>
    <m/>
    <n v="74"/>
  </r>
  <r>
    <s v="USR-100111"/>
    <d v="2025-04-28T00:00:00"/>
    <x v="0"/>
    <s v="West"/>
    <s v="Desktop"/>
    <s v="Organic"/>
    <s v="Basic"/>
    <n v="1"/>
    <n v="0"/>
    <n v="0"/>
    <n v="0"/>
    <n v="0"/>
    <n v="0"/>
    <n v="0"/>
    <m/>
    <n v="63.4"/>
  </r>
  <r>
    <s v="USR-100112"/>
    <d v="2025-01-30T00:00:00"/>
    <x v="0"/>
    <s v="North"/>
    <s v="Mobile"/>
    <s v="Organic"/>
    <s v="Basic"/>
    <n v="1"/>
    <n v="0"/>
    <n v="0"/>
    <n v="0"/>
    <n v="0"/>
    <n v="0"/>
    <n v="0"/>
    <m/>
    <n v="53.2"/>
  </r>
  <r>
    <s v="USR-100113"/>
    <d v="2025-05-19T00:00:00"/>
    <x v="0"/>
    <s v="East"/>
    <s v="Tablet"/>
    <s v="Paid Search"/>
    <s v="Free"/>
    <n v="0"/>
    <n v="0"/>
    <n v="0"/>
    <n v="0"/>
    <n v="0"/>
    <n v="0"/>
    <n v="0"/>
    <m/>
    <n v="48.1"/>
  </r>
  <r>
    <s v="USR-100114"/>
    <d v="2025-01-23T00:00:00"/>
    <x v="0"/>
    <s v="South"/>
    <s v="Mobile"/>
    <s v="Social"/>
    <s v="Free"/>
    <n v="1"/>
    <n v="1"/>
    <n v="0"/>
    <n v="0"/>
    <n v="0"/>
    <n v="0"/>
    <n v="0"/>
    <m/>
    <n v="61.5"/>
  </r>
  <r>
    <s v="USR-100115"/>
    <d v="2025-03-28T00:00:00"/>
    <x v="0"/>
    <s v="East"/>
    <s v="Desktop"/>
    <s v="Social"/>
    <s v="Free"/>
    <n v="1"/>
    <n v="0"/>
    <n v="0"/>
    <n v="0"/>
    <n v="0"/>
    <n v="0"/>
    <n v="0"/>
    <m/>
    <n v="63.2"/>
  </r>
  <r>
    <s v="USR-100116"/>
    <d v="2025-01-11T00:00:00"/>
    <x v="0"/>
    <s v="West"/>
    <s v="Mobile"/>
    <s v="Organic"/>
    <s v="Free"/>
    <n v="0"/>
    <n v="0"/>
    <n v="0"/>
    <n v="0"/>
    <n v="0"/>
    <n v="0"/>
    <n v="0"/>
    <m/>
    <n v="71.900000000000006"/>
  </r>
  <r>
    <s v="USR-100117"/>
    <d v="2025-04-11T00:00:00"/>
    <x v="0"/>
    <s v="North"/>
    <s v="Mobile"/>
    <s v="Referral"/>
    <s v="Free"/>
    <n v="0"/>
    <n v="0"/>
    <n v="0"/>
    <n v="0"/>
    <n v="0"/>
    <n v="0"/>
    <n v="0"/>
    <m/>
    <n v="62.7"/>
  </r>
  <r>
    <s v="USR-100118"/>
    <d v="2025-01-02T00:00:00"/>
    <x v="0"/>
    <s v="West"/>
    <s v="Mobile"/>
    <s v="Paid Search"/>
    <s v="Free"/>
    <n v="1"/>
    <n v="0"/>
    <n v="0"/>
    <n v="0"/>
    <n v="0"/>
    <n v="0"/>
    <n v="0"/>
    <m/>
    <n v="51.5"/>
  </r>
  <r>
    <s v="USR-100119"/>
    <d v="2025-03-18T00:00:00"/>
    <x v="0"/>
    <s v="East"/>
    <s v="Mobile"/>
    <s v="Social"/>
    <s v="Free"/>
    <n v="1"/>
    <n v="1"/>
    <n v="1"/>
    <n v="0"/>
    <n v="0"/>
    <n v="0"/>
    <n v="0"/>
    <m/>
    <n v="39.1"/>
  </r>
  <r>
    <s v="USR-100120"/>
    <d v="2025-03-31T00:00:00"/>
    <x v="0"/>
    <s v="North"/>
    <s v="Mobile"/>
    <s v="Email"/>
    <s v="Free"/>
    <n v="1"/>
    <n v="0"/>
    <n v="0"/>
    <n v="0"/>
    <n v="0"/>
    <n v="0"/>
    <n v="0"/>
    <m/>
    <n v="43.8"/>
  </r>
  <r>
    <s v="USR-100121"/>
    <d v="2025-01-06T00:00:00"/>
    <x v="0"/>
    <s v="North"/>
    <s v="Mobile"/>
    <s v="Paid Search"/>
    <s v="Basic"/>
    <n v="1"/>
    <n v="0"/>
    <n v="0"/>
    <n v="0"/>
    <n v="0"/>
    <n v="0"/>
    <n v="0"/>
    <m/>
    <n v="59.9"/>
  </r>
  <r>
    <s v="USR-100122"/>
    <d v="2025-01-26T00:00:00"/>
    <x v="0"/>
    <s v="North"/>
    <s v="Mobile"/>
    <s v="Referral"/>
    <s v="Free"/>
    <n v="1"/>
    <n v="1"/>
    <n v="0"/>
    <n v="0"/>
    <n v="0"/>
    <n v="0"/>
    <n v="0"/>
    <m/>
    <n v="71.400000000000006"/>
  </r>
  <r>
    <s v="USR-100123"/>
    <d v="2025-04-22T00:00:00"/>
    <x v="0"/>
    <s v="South"/>
    <s v="Mobile"/>
    <s v="Referral"/>
    <s v="Basic"/>
    <n v="0"/>
    <n v="0"/>
    <n v="0"/>
    <n v="0"/>
    <n v="0"/>
    <n v="0"/>
    <n v="0"/>
    <m/>
    <n v="36.1"/>
  </r>
  <r>
    <s v="USR-100124"/>
    <d v="2025-05-30T00:00:00"/>
    <x v="0"/>
    <s v="West"/>
    <m/>
    <s v="Email"/>
    <s v="Basic"/>
    <n v="1"/>
    <n v="1"/>
    <n v="0"/>
    <n v="0"/>
    <n v="0"/>
    <n v="0"/>
    <n v="0"/>
    <m/>
    <n v="47.9"/>
  </r>
  <r>
    <s v="USR-100125"/>
    <d v="2025-05-18T00:00:00"/>
    <x v="0"/>
    <s v="West"/>
    <s v="Desktop"/>
    <s v="Organic"/>
    <s v="Premium"/>
    <n v="1"/>
    <n v="0"/>
    <n v="0"/>
    <n v="0"/>
    <n v="0"/>
    <n v="0"/>
    <n v="0"/>
    <m/>
    <n v="62.5"/>
  </r>
  <r>
    <s v="USR-100126"/>
    <d v="2025-01-13T00:00:00"/>
    <x v="0"/>
    <s v="South"/>
    <s v="Desktop"/>
    <s v="Paid Search"/>
    <s v="Premium"/>
    <n v="1"/>
    <n v="0"/>
    <n v="0"/>
    <n v="0"/>
    <n v="0"/>
    <n v="0"/>
    <n v="0"/>
    <m/>
    <n v="56.9"/>
  </r>
  <r>
    <s v="USR-100127"/>
    <d v="2025-03-25T00:00:00"/>
    <x v="0"/>
    <s v="North"/>
    <s v="Desktop"/>
    <s v="Email"/>
    <s v="Free"/>
    <n v="0"/>
    <n v="0"/>
    <n v="0"/>
    <n v="0"/>
    <n v="0"/>
    <n v="0"/>
    <n v="0"/>
    <m/>
    <n v="64.7"/>
  </r>
  <r>
    <s v="USR-100128"/>
    <d v="2025-04-29T00:00:00"/>
    <x v="0"/>
    <s v="South"/>
    <s v="Desktop"/>
    <s v="Organic"/>
    <s v="Free"/>
    <n v="1"/>
    <n v="1"/>
    <n v="1"/>
    <n v="0"/>
    <n v="0"/>
    <n v="0"/>
    <n v="0"/>
    <m/>
    <n v="64"/>
  </r>
  <r>
    <s v="USR-100129"/>
    <d v="2025-05-17T00:00:00"/>
    <x v="0"/>
    <s v="East"/>
    <s v="Mobile"/>
    <s v="Referral"/>
    <s v="Basic"/>
    <n v="1"/>
    <n v="1"/>
    <n v="1"/>
    <n v="0"/>
    <n v="0"/>
    <n v="0"/>
    <n v="0"/>
    <m/>
    <n v="75.2"/>
  </r>
  <r>
    <s v="USR-100130"/>
    <d v="2025-01-02T00:00:00"/>
    <x v="0"/>
    <s v="North"/>
    <s v="Mobile"/>
    <s v="Paid Search"/>
    <s v="Free"/>
    <n v="1"/>
    <n v="0"/>
    <n v="0"/>
    <n v="0"/>
    <n v="0"/>
    <n v="1"/>
    <n v="0"/>
    <m/>
    <n v="79"/>
  </r>
  <r>
    <s v="USR-100131"/>
    <d v="2025-02-03T00:00:00"/>
    <x v="0"/>
    <s v="South"/>
    <s v="Mobile"/>
    <s v="Organic"/>
    <s v="Free"/>
    <n v="0"/>
    <n v="0"/>
    <n v="0"/>
    <n v="0"/>
    <n v="0"/>
    <n v="0"/>
    <n v="0"/>
    <m/>
    <n v="33"/>
  </r>
  <r>
    <s v="USR-100132"/>
    <d v="2025-03-04T00:00:00"/>
    <x v="0"/>
    <s v="East"/>
    <s v="Mobile"/>
    <s v="Organic"/>
    <s v="Free"/>
    <n v="1"/>
    <n v="0"/>
    <n v="0"/>
    <n v="0"/>
    <n v="0"/>
    <n v="0"/>
    <n v="0"/>
    <m/>
    <n v="67.900000000000006"/>
  </r>
  <r>
    <s v="USR-100133"/>
    <d v="2025-01-26T00:00:00"/>
    <x v="0"/>
    <s v="South"/>
    <s v="Mobile"/>
    <s v="Paid Search"/>
    <s v="Basic"/>
    <n v="0"/>
    <n v="0"/>
    <n v="0"/>
    <n v="0"/>
    <n v="0"/>
    <n v="0"/>
    <n v="0"/>
    <m/>
    <n v="42.2"/>
  </r>
  <r>
    <s v="USR-100134"/>
    <d v="2025-05-12T00:00:00"/>
    <x v="0"/>
    <s v="West"/>
    <s v="Mobile"/>
    <s v="Paid Search"/>
    <s v="Basic"/>
    <n v="1"/>
    <n v="1"/>
    <n v="1"/>
    <n v="0"/>
    <n v="0"/>
    <n v="0"/>
    <n v="0"/>
    <m/>
    <n v="43.4"/>
  </r>
  <r>
    <s v="USR-100135"/>
    <d v="2025-03-06T00:00:00"/>
    <x v="0"/>
    <s v="North"/>
    <s v="Mobile"/>
    <s v="Organic"/>
    <s v="Basic"/>
    <n v="0"/>
    <n v="0"/>
    <n v="0"/>
    <n v="0"/>
    <n v="0"/>
    <n v="0"/>
    <n v="0"/>
    <m/>
    <n v="54.4"/>
  </r>
  <r>
    <s v="USR-100136"/>
    <d v="2025-03-10T00:00:00"/>
    <x v="0"/>
    <s v="South"/>
    <s v="Desktop"/>
    <s v="Email"/>
    <s v="Premium"/>
    <n v="0"/>
    <n v="0"/>
    <n v="0"/>
    <n v="0"/>
    <n v="0"/>
    <n v="0"/>
    <n v="0"/>
    <m/>
    <n v="45.7"/>
  </r>
  <r>
    <s v="USR-100137"/>
    <d v="2025-05-06T00:00:00"/>
    <x v="0"/>
    <s v="North"/>
    <s v="Mobile"/>
    <s v="Paid Search"/>
    <s v="Free"/>
    <n v="0"/>
    <n v="0"/>
    <n v="0"/>
    <n v="0"/>
    <n v="0"/>
    <n v="3"/>
    <n v="0"/>
    <m/>
    <n v="32"/>
  </r>
  <r>
    <s v="USR-100138"/>
    <d v="2025-02-23T00:00:00"/>
    <x v="0"/>
    <s v="South"/>
    <s v="Desktop"/>
    <s v="Paid Search"/>
    <s v="Free"/>
    <n v="1"/>
    <n v="0"/>
    <n v="0"/>
    <n v="0"/>
    <n v="0"/>
    <n v="0"/>
    <n v="0"/>
    <m/>
    <n v="70.900000000000006"/>
  </r>
  <r>
    <s v="USR-100139"/>
    <d v="2025-01-29T00:00:00"/>
    <x v="0"/>
    <s v="West"/>
    <s v="Mobile"/>
    <s v="Social"/>
    <s v="Basic"/>
    <n v="1"/>
    <n v="1"/>
    <n v="1"/>
    <n v="0"/>
    <n v="0"/>
    <n v="0"/>
    <n v="0"/>
    <m/>
    <n v="59.1"/>
  </r>
  <r>
    <s v="USR-100140"/>
    <d v="2025-01-31T00:00:00"/>
    <x v="0"/>
    <s v="North"/>
    <s v="Mobile"/>
    <s v="Organic"/>
    <s v="Basic"/>
    <n v="0"/>
    <n v="0"/>
    <n v="0"/>
    <n v="0"/>
    <n v="0"/>
    <n v="0"/>
    <n v="0"/>
    <m/>
    <n v="62.4"/>
  </r>
  <r>
    <s v="USR-100141"/>
    <d v="2025-01-19T00:00:00"/>
    <x v="0"/>
    <s v="South"/>
    <s v="Mobile"/>
    <s v="Organic"/>
    <s v="Free"/>
    <n v="0"/>
    <n v="0"/>
    <n v="0"/>
    <n v="0"/>
    <n v="0"/>
    <n v="0"/>
    <n v="0"/>
    <m/>
    <n v="49.6"/>
  </r>
  <r>
    <s v="USR-100142"/>
    <d v="2025-04-03T00:00:00"/>
    <x v="0"/>
    <s v="West"/>
    <s v="Desktop"/>
    <s v="Social"/>
    <s v="Free"/>
    <n v="1"/>
    <n v="1"/>
    <n v="1"/>
    <n v="1"/>
    <n v="404.4"/>
    <n v="0"/>
    <n v="0"/>
    <n v="9"/>
    <n v="80.599999999999994"/>
  </r>
  <r>
    <s v="USR-100143"/>
    <d v="2025-04-07T00:00:00"/>
    <x v="0"/>
    <s v="North"/>
    <s v="Mobile"/>
    <s v="Paid Search"/>
    <s v="Free"/>
    <n v="1"/>
    <n v="0"/>
    <n v="0"/>
    <n v="0"/>
    <n v="0"/>
    <n v="0"/>
    <n v="0"/>
    <m/>
    <n v="47.9"/>
  </r>
  <r>
    <s v="USR-100144"/>
    <d v="2025-01-06T00:00:00"/>
    <x v="0"/>
    <s v="East"/>
    <s v="Mobile"/>
    <s v="Paid Search"/>
    <s v="Basic"/>
    <n v="1"/>
    <n v="1"/>
    <n v="0"/>
    <n v="0"/>
    <n v="0"/>
    <n v="0"/>
    <n v="0"/>
    <m/>
    <n v="54.8"/>
  </r>
  <r>
    <s v="USR-100145"/>
    <d v="2025-04-11T00:00:00"/>
    <x v="0"/>
    <s v="East"/>
    <s v="Mobile"/>
    <s v="Organic"/>
    <s v="Free"/>
    <n v="1"/>
    <n v="0"/>
    <n v="0"/>
    <n v="0"/>
    <n v="0"/>
    <n v="1"/>
    <n v="0"/>
    <m/>
    <n v="53.9"/>
  </r>
  <r>
    <s v="USR-100146"/>
    <d v="2025-04-23T00:00:00"/>
    <x v="0"/>
    <s v="East"/>
    <s v="Mobile"/>
    <s v="Paid Search"/>
    <s v="Free"/>
    <n v="1"/>
    <n v="0"/>
    <n v="0"/>
    <n v="0"/>
    <n v="0"/>
    <n v="0"/>
    <n v="0"/>
    <m/>
    <n v="41.3"/>
  </r>
  <r>
    <s v="USR-100147"/>
    <d v="2025-03-25T00:00:00"/>
    <x v="0"/>
    <s v="West"/>
    <s v="Mobile"/>
    <s v="Organic"/>
    <s v="Basic"/>
    <n v="1"/>
    <n v="1"/>
    <n v="0"/>
    <n v="0"/>
    <n v="0"/>
    <n v="0"/>
    <n v="0"/>
    <m/>
    <n v="38.9"/>
  </r>
  <r>
    <s v="USR-100148"/>
    <d v="2025-05-25T00:00:00"/>
    <x v="0"/>
    <s v="South"/>
    <s v="Desktop"/>
    <s v="Organic"/>
    <s v="Basic"/>
    <n v="1"/>
    <n v="0"/>
    <n v="0"/>
    <n v="0"/>
    <n v="0"/>
    <n v="0"/>
    <n v="0"/>
    <m/>
    <n v="63.6"/>
  </r>
  <r>
    <s v="USR-100149"/>
    <d v="2025-01-28T00:00:00"/>
    <x v="0"/>
    <s v="North"/>
    <s v="Mobile"/>
    <s v="Organic"/>
    <s v="Free"/>
    <n v="1"/>
    <n v="1"/>
    <n v="1"/>
    <n v="1"/>
    <n v="577.94000000000005"/>
    <n v="0"/>
    <n v="0"/>
    <n v="9"/>
    <n v="76.599999999999994"/>
  </r>
  <r>
    <s v="USR-100150"/>
    <d v="2025-02-12T00:00:00"/>
    <x v="0"/>
    <s v="West"/>
    <s v="Mobile"/>
    <s v="Paid Search"/>
    <s v="Premium"/>
    <n v="0"/>
    <n v="0"/>
    <n v="0"/>
    <n v="0"/>
    <n v="0"/>
    <n v="1"/>
    <n v="0"/>
    <m/>
    <n v="67.599999999999994"/>
  </r>
  <r>
    <s v="USR-100151"/>
    <d v="2025-04-29T00:00:00"/>
    <x v="0"/>
    <s v="North"/>
    <s v="Mobile"/>
    <s v="Social"/>
    <s v="Premium"/>
    <n v="1"/>
    <n v="0"/>
    <n v="0"/>
    <n v="0"/>
    <n v="0"/>
    <n v="0"/>
    <n v="0"/>
    <m/>
    <n v="43.1"/>
  </r>
  <r>
    <s v="USR-100152"/>
    <d v="2025-03-13T00:00:00"/>
    <x v="0"/>
    <s v="South"/>
    <s v="Mobile"/>
    <s v="Email"/>
    <s v="Free"/>
    <n v="1"/>
    <n v="0"/>
    <n v="0"/>
    <n v="0"/>
    <n v="0"/>
    <n v="0"/>
    <n v="0"/>
    <m/>
    <n v="58.3"/>
  </r>
  <r>
    <s v="USR-100153"/>
    <d v="2025-02-04T00:00:00"/>
    <x v="0"/>
    <s v="East"/>
    <s v="Desktop"/>
    <s v="Paid Search"/>
    <s v="Free"/>
    <n v="1"/>
    <n v="0"/>
    <n v="0"/>
    <n v="0"/>
    <n v="0"/>
    <n v="0"/>
    <n v="0"/>
    <m/>
    <n v="69.8"/>
  </r>
  <r>
    <s v="USR-100154"/>
    <d v="2025-03-04T00:00:00"/>
    <x v="0"/>
    <s v="South"/>
    <s v="Mobile"/>
    <s v="Referral"/>
    <s v="Free"/>
    <n v="1"/>
    <n v="1"/>
    <n v="0"/>
    <n v="0"/>
    <n v="0"/>
    <n v="0"/>
    <n v="0"/>
    <m/>
    <m/>
  </r>
  <r>
    <s v="USR-100155"/>
    <d v="2025-02-04T00:00:00"/>
    <x v="0"/>
    <s v="West"/>
    <s v="Mobile"/>
    <s v="Paid Search"/>
    <s v="Basic"/>
    <n v="1"/>
    <n v="1"/>
    <n v="0"/>
    <n v="0"/>
    <n v="0"/>
    <n v="0"/>
    <n v="0"/>
    <m/>
    <n v="41.9"/>
  </r>
  <r>
    <s v="USR-100156"/>
    <d v="2025-03-11T00:00:00"/>
    <x v="0"/>
    <s v="North"/>
    <s v="Desktop"/>
    <s v="Organic"/>
    <s v="Free"/>
    <n v="0"/>
    <n v="0"/>
    <n v="0"/>
    <n v="0"/>
    <n v="0"/>
    <n v="0"/>
    <n v="0"/>
    <m/>
    <n v="33.1"/>
  </r>
  <r>
    <s v="USR-100157"/>
    <d v="2025-04-22T00:00:00"/>
    <x v="0"/>
    <s v="West"/>
    <s v="Mobile"/>
    <s v="Organic"/>
    <s v="Free"/>
    <n v="0"/>
    <n v="0"/>
    <n v="0"/>
    <n v="0"/>
    <n v="0"/>
    <n v="0"/>
    <n v="0"/>
    <m/>
    <n v="58.6"/>
  </r>
  <r>
    <s v="USR-100158"/>
    <d v="2025-03-08T00:00:00"/>
    <x v="0"/>
    <s v="North"/>
    <s v="Desktop"/>
    <s v="Paid Search"/>
    <s v="Free"/>
    <n v="0"/>
    <n v="0"/>
    <n v="0"/>
    <n v="0"/>
    <n v="0"/>
    <n v="0"/>
    <n v="0"/>
    <m/>
    <n v="55.7"/>
  </r>
  <r>
    <s v="USR-100159"/>
    <d v="2025-03-10T00:00:00"/>
    <x v="0"/>
    <s v="East"/>
    <s v="Mobile"/>
    <s v="Organic"/>
    <s v="Free"/>
    <n v="0"/>
    <n v="0"/>
    <n v="0"/>
    <n v="0"/>
    <n v="0"/>
    <n v="2"/>
    <n v="0"/>
    <m/>
    <n v="64.900000000000006"/>
  </r>
  <r>
    <s v="USR-100160"/>
    <d v="2025-05-18T00:00:00"/>
    <x v="0"/>
    <s v="North"/>
    <s v="Desktop"/>
    <s v="Paid Search"/>
    <s v="Basic"/>
    <n v="0"/>
    <n v="0"/>
    <n v="0"/>
    <n v="0"/>
    <n v="0"/>
    <n v="0"/>
    <n v="0"/>
    <m/>
    <n v="72.3"/>
  </r>
  <r>
    <s v="USR-100161"/>
    <d v="2025-05-14T00:00:00"/>
    <x v="0"/>
    <s v="North"/>
    <s v="Mobile"/>
    <s v="Social"/>
    <s v="Basic"/>
    <n v="0"/>
    <n v="0"/>
    <n v="0"/>
    <n v="0"/>
    <n v="0"/>
    <n v="0"/>
    <n v="0"/>
    <m/>
    <n v="42.1"/>
  </r>
  <r>
    <s v="USR-100162"/>
    <d v="2025-02-01T00:00:00"/>
    <x v="0"/>
    <s v="North"/>
    <s v="Mobile"/>
    <s v="Organic"/>
    <s v="Free"/>
    <n v="0"/>
    <n v="0"/>
    <n v="0"/>
    <n v="0"/>
    <n v="0"/>
    <n v="0"/>
    <n v="0"/>
    <m/>
    <m/>
  </r>
  <r>
    <s v="USR-100163"/>
    <d v="2025-04-11T00:00:00"/>
    <x v="0"/>
    <s v="South"/>
    <s v="Mobile"/>
    <s v="Organic"/>
    <s v="Basic"/>
    <n v="0"/>
    <n v="0"/>
    <n v="0"/>
    <n v="0"/>
    <n v="0"/>
    <n v="1"/>
    <n v="0"/>
    <m/>
    <n v="64.8"/>
  </r>
  <r>
    <s v="USR-100164"/>
    <d v="2025-02-14T00:00:00"/>
    <x v="0"/>
    <s v="East"/>
    <s v="Mobile"/>
    <s v="Organic"/>
    <s v="Free"/>
    <n v="0"/>
    <n v="0"/>
    <n v="0"/>
    <n v="0"/>
    <n v="0"/>
    <n v="0"/>
    <n v="0"/>
    <m/>
    <n v="72.099999999999994"/>
  </r>
  <r>
    <s v="USR-100165"/>
    <d v="2025-05-19T00:00:00"/>
    <x v="0"/>
    <s v="East"/>
    <s v="Mobile"/>
    <s v="Social"/>
    <s v="Free"/>
    <n v="1"/>
    <n v="0"/>
    <n v="0"/>
    <n v="0"/>
    <n v="0"/>
    <n v="0"/>
    <n v="0"/>
    <m/>
    <n v="50.6"/>
  </r>
  <r>
    <s v="USR-100166"/>
    <d v="2025-04-26T00:00:00"/>
    <x v="0"/>
    <s v="North"/>
    <s v="Desktop"/>
    <s v="Paid Search"/>
    <s v="Basic"/>
    <n v="1"/>
    <n v="1"/>
    <n v="1"/>
    <n v="1"/>
    <n v="1281.25"/>
    <n v="1"/>
    <n v="0"/>
    <n v="9"/>
    <n v="43.4"/>
  </r>
  <r>
    <s v="USR-100167"/>
    <d v="2025-04-06T00:00:00"/>
    <x v="0"/>
    <s v="South"/>
    <s v="Mobile"/>
    <s v="Social"/>
    <s v="Free"/>
    <n v="1"/>
    <n v="0"/>
    <n v="0"/>
    <n v="0"/>
    <n v="0"/>
    <n v="0"/>
    <n v="0"/>
    <m/>
    <n v="59.7"/>
  </r>
  <r>
    <s v="USR-100168"/>
    <d v="2025-03-06T00:00:00"/>
    <x v="0"/>
    <s v="South"/>
    <s v="Mobile"/>
    <s v="Paid Search"/>
    <s v="Free"/>
    <n v="1"/>
    <n v="0"/>
    <n v="0"/>
    <n v="0"/>
    <n v="0"/>
    <n v="1"/>
    <n v="0"/>
    <m/>
    <m/>
  </r>
  <r>
    <s v="USR-100169"/>
    <d v="2025-03-10T00:00:00"/>
    <x v="0"/>
    <s v="West"/>
    <s v="Mobile"/>
    <s v="Social"/>
    <s v="Basic"/>
    <n v="0"/>
    <n v="0"/>
    <n v="0"/>
    <n v="0"/>
    <n v="0"/>
    <n v="0"/>
    <n v="0"/>
    <m/>
    <n v="54.5"/>
  </r>
  <r>
    <s v="USR-100170"/>
    <d v="2025-03-30T00:00:00"/>
    <x v="0"/>
    <s v="North"/>
    <s v="Mobile"/>
    <s v="Organic"/>
    <s v="Free"/>
    <n v="1"/>
    <n v="0"/>
    <n v="0"/>
    <n v="0"/>
    <n v="0"/>
    <n v="0"/>
    <n v="0"/>
    <m/>
    <n v="71.099999999999994"/>
  </r>
  <r>
    <s v="USR-100171"/>
    <d v="2025-05-29T00:00:00"/>
    <x v="0"/>
    <s v="East"/>
    <m/>
    <s v="Paid Search"/>
    <s v="Free"/>
    <n v="1"/>
    <n v="1"/>
    <n v="1"/>
    <n v="0"/>
    <n v="0"/>
    <n v="0"/>
    <n v="0"/>
    <m/>
    <n v="44.4"/>
  </r>
  <r>
    <s v="USR-100172"/>
    <d v="2025-03-23T00:00:00"/>
    <x v="0"/>
    <s v="North"/>
    <s v="Mobile"/>
    <s v="Organic"/>
    <s v="Free"/>
    <n v="1"/>
    <n v="0"/>
    <n v="0"/>
    <n v="0"/>
    <n v="0"/>
    <n v="0"/>
    <n v="0"/>
    <m/>
    <n v="61.7"/>
  </r>
  <r>
    <s v="USR-100173"/>
    <d v="2025-02-18T00:00:00"/>
    <x v="0"/>
    <s v="North"/>
    <s v="Tablet"/>
    <s v="Organic"/>
    <s v="Basic"/>
    <n v="0"/>
    <n v="0"/>
    <n v="0"/>
    <n v="0"/>
    <n v="0"/>
    <n v="1"/>
    <n v="0"/>
    <m/>
    <n v="81.3"/>
  </r>
  <r>
    <s v="USR-100174"/>
    <d v="2025-01-26T00:00:00"/>
    <x v="0"/>
    <s v="North"/>
    <s v="Desktop"/>
    <s v="Email"/>
    <s v="Free"/>
    <n v="1"/>
    <n v="0"/>
    <n v="0"/>
    <n v="0"/>
    <n v="0"/>
    <n v="2"/>
    <n v="0"/>
    <m/>
    <n v="28.7"/>
  </r>
  <r>
    <s v="USR-100175"/>
    <d v="2025-04-23T00:00:00"/>
    <x v="0"/>
    <s v="East"/>
    <s v="Mobile"/>
    <s v="Social"/>
    <s v="Basic"/>
    <n v="0"/>
    <n v="0"/>
    <n v="0"/>
    <n v="0"/>
    <n v="0"/>
    <n v="0"/>
    <n v="0"/>
    <m/>
    <n v="53"/>
  </r>
  <r>
    <s v="USR-100176"/>
    <d v="2025-03-16T00:00:00"/>
    <x v="0"/>
    <s v="South"/>
    <s v="Tablet"/>
    <s v="Referral"/>
    <s v="Basic"/>
    <n v="1"/>
    <n v="0"/>
    <n v="0"/>
    <n v="0"/>
    <n v="0"/>
    <n v="0"/>
    <n v="0"/>
    <m/>
    <n v="54.9"/>
  </r>
  <r>
    <s v="USR-100177"/>
    <d v="2025-04-29T00:00:00"/>
    <x v="0"/>
    <s v="West"/>
    <s v="Mobile"/>
    <s v="Organic"/>
    <s v="Basic"/>
    <n v="1"/>
    <n v="0"/>
    <n v="0"/>
    <n v="0"/>
    <n v="0"/>
    <n v="0"/>
    <n v="0"/>
    <m/>
    <n v="58.2"/>
  </r>
  <r>
    <s v="USR-100178"/>
    <d v="2025-04-06T00:00:00"/>
    <x v="0"/>
    <s v="North"/>
    <s v="Mobile"/>
    <s v="Organic"/>
    <s v="Free"/>
    <n v="0"/>
    <n v="0"/>
    <n v="0"/>
    <n v="0"/>
    <n v="0"/>
    <n v="0"/>
    <n v="0"/>
    <m/>
    <n v="80.599999999999994"/>
  </r>
  <r>
    <s v="USR-100179"/>
    <d v="2025-04-17T00:00:00"/>
    <x v="0"/>
    <s v="North"/>
    <s v="Desktop"/>
    <s v="Referral"/>
    <s v="Premium"/>
    <n v="1"/>
    <n v="1"/>
    <n v="1"/>
    <n v="0"/>
    <n v="0"/>
    <n v="0"/>
    <n v="0"/>
    <m/>
    <n v="38.4"/>
  </r>
  <r>
    <s v="USR-100180"/>
    <d v="2025-04-03T00:00:00"/>
    <x v="0"/>
    <s v="South"/>
    <s v="Mobile"/>
    <s v="Paid Search"/>
    <s v="Free"/>
    <n v="1"/>
    <n v="0"/>
    <n v="0"/>
    <n v="0"/>
    <n v="0"/>
    <n v="0"/>
    <n v="0"/>
    <m/>
    <n v="56.1"/>
  </r>
  <r>
    <s v="USR-100181"/>
    <d v="2025-04-25T00:00:00"/>
    <x v="0"/>
    <s v="West"/>
    <s v="Mobile"/>
    <s v="Paid Search"/>
    <s v="Free"/>
    <n v="0"/>
    <n v="0"/>
    <n v="0"/>
    <n v="0"/>
    <n v="0"/>
    <n v="0"/>
    <n v="0"/>
    <m/>
    <n v="62.6"/>
  </r>
  <r>
    <s v="USR-100182"/>
    <d v="2025-04-30T00:00:00"/>
    <x v="0"/>
    <s v="South"/>
    <s v="Mobile"/>
    <s v="Organic"/>
    <s v="Premium"/>
    <n v="0"/>
    <n v="0"/>
    <n v="0"/>
    <n v="0"/>
    <n v="0"/>
    <n v="0"/>
    <n v="0"/>
    <m/>
    <n v="36.299999999999997"/>
  </r>
  <r>
    <s v="USR-100183"/>
    <d v="2025-03-12T00:00:00"/>
    <x v="0"/>
    <s v="South"/>
    <s v="Mobile"/>
    <s v="Paid Search"/>
    <s v="Free"/>
    <n v="1"/>
    <n v="0"/>
    <n v="0"/>
    <n v="0"/>
    <n v="0"/>
    <n v="0"/>
    <n v="0"/>
    <m/>
    <n v="52.1"/>
  </r>
  <r>
    <s v="USR-100184"/>
    <d v="2025-05-04T00:00:00"/>
    <x v="0"/>
    <s v="South"/>
    <s v="Mobile"/>
    <s v="Organic"/>
    <s v="Free"/>
    <n v="1"/>
    <n v="0"/>
    <n v="0"/>
    <n v="0"/>
    <n v="0"/>
    <n v="0"/>
    <n v="0"/>
    <m/>
    <n v="45.1"/>
  </r>
  <r>
    <s v="USR-100185"/>
    <d v="2025-02-07T00:00:00"/>
    <x v="0"/>
    <s v="South"/>
    <s v="Tablet"/>
    <s v="Paid Search"/>
    <s v="Premium"/>
    <n v="0"/>
    <n v="0"/>
    <n v="0"/>
    <n v="0"/>
    <n v="0"/>
    <n v="0"/>
    <n v="0"/>
    <m/>
    <n v="67.5"/>
  </r>
  <r>
    <s v="USR-100186"/>
    <d v="2025-04-28T00:00:00"/>
    <x v="0"/>
    <s v="East"/>
    <s v="Tablet"/>
    <s v="Email"/>
    <s v="Basic"/>
    <n v="1"/>
    <n v="1"/>
    <n v="1"/>
    <n v="0"/>
    <n v="0"/>
    <n v="0"/>
    <n v="0"/>
    <m/>
    <n v="80"/>
  </r>
  <r>
    <s v="USR-100187"/>
    <d v="2025-05-15T00:00:00"/>
    <x v="0"/>
    <s v="East"/>
    <s v="Desktop"/>
    <s v="Referral"/>
    <s v="Free"/>
    <n v="0"/>
    <n v="0"/>
    <n v="0"/>
    <n v="0"/>
    <n v="0"/>
    <n v="0"/>
    <n v="0"/>
    <m/>
    <n v="56.4"/>
  </r>
  <r>
    <s v="USR-100188"/>
    <d v="2025-01-18T00:00:00"/>
    <x v="0"/>
    <s v="West"/>
    <s v="Mobile"/>
    <s v="Paid Search"/>
    <s v="Basic"/>
    <n v="0"/>
    <n v="0"/>
    <n v="0"/>
    <n v="0"/>
    <n v="0"/>
    <n v="0"/>
    <n v="0"/>
    <m/>
    <n v="55.4"/>
  </r>
  <r>
    <s v="USR-100189"/>
    <d v="2025-02-15T00:00:00"/>
    <x v="0"/>
    <s v="South"/>
    <s v="Mobile"/>
    <s v="Social"/>
    <s v="Basic"/>
    <n v="1"/>
    <n v="0"/>
    <n v="0"/>
    <n v="0"/>
    <n v="0"/>
    <n v="0"/>
    <n v="0"/>
    <m/>
    <n v="67.900000000000006"/>
  </r>
  <r>
    <s v="USR-100190"/>
    <d v="2025-02-18T00:00:00"/>
    <x v="0"/>
    <s v="North"/>
    <s v="Tablet"/>
    <s v="Email"/>
    <s v="Free"/>
    <n v="1"/>
    <n v="0"/>
    <n v="0"/>
    <n v="0"/>
    <n v="0"/>
    <n v="0"/>
    <n v="0"/>
    <m/>
    <n v="62.5"/>
  </r>
  <r>
    <s v="USR-100191"/>
    <d v="2025-01-30T00:00:00"/>
    <x v="0"/>
    <s v="South"/>
    <s v="Desktop"/>
    <s v="Email"/>
    <s v="Basic"/>
    <n v="1"/>
    <n v="1"/>
    <n v="1"/>
    <n v="0"/>
    <n v="0"/>
    <n v="0"/>
    <n v="0"/>
    <m/>
    <n v="54.3"/>
  </r>
  <r>
    <s v="USR-100192"/>
    <d v="2025-02-09T00:00:00"/>
    <x v="0"/>
    <s v="South"/>
    <s v="Desktop"/>
    <s v="Organic"/>
    <s v="Basic"/>
    <n v="1"/>
    <n v="0"/>
    <n v="0"/>
    <n v="0"/>
    <n v="0"/>
    <n v="0"/>
    <n v="0"/>
    <m/>
    <n v="37.5"/>
  </r>
  <r>
    <s v="USR-100193"/>
    <d v="2025-03-16T00:00:00"/>
    <x v="0"/>
    <s v="West"/>
    <s v="Mobile"/>
    <s v="Paid Search"/>
    <s v="Basic"/>
    <n v="1"/>
    <n v="0"/>
    <n v="0"/>
    <n v="0"/>
    <n v="0"/>
    <n v="0"/>
    <n v="0"/>
    <m/>
    <n v="52.6"/>
  </r>
  <r>
    <s v="USR-100194"/>
    <d v="2025-05-19T00:00:00"/>
    <x v="0"/>
    <s v="North"/>
    <s v="Mobile"/>
    <s v="Paid Search"/>
    <s v="Free"/>
    <n v="1"/>
    <n v="0"/>
    <n v="0"/>
    <n v="0"/>
    <n v="0"/>
    <n v="0"/>
    <n v="0"/>
    <m/>
    <n v="46.1"/>
  </r>
  <r>
    <s v="USR-100195"/>
    <d v="2025-05-16T00:00:00"/>
    <x v="0"/>
    <s v="South"/>
    <s v="Desktop"/>
    <s v="Organic"/>
    <s v="Basic"/>
    <n v="1"/>
    <n v="0"/>
    <n v="0"/>
    <n v="0"/>
    <n v="0"/>
    <n v="0"/>
    <n v="0"/>
    <m/>
    <n v="54.7"/>
  </r>
  <r>
    <s v="USR-100196"/>
    <d v="2025-04-25T00:00:00"/>
    <x v="0"/>
    <s v="West"/>
    <s v="Desktop"/>
    <s v="Referral"/>
    <s v="Basic"/>
    <n v="0"/>
    <n v="0"/>
    <n v="0"/>
    <n v="0"/>
    <n v="0"/>
    <n v="0"/>
    <n v="0"/>
    <m/>
    <n v="74.2"/>
  </r>
  <r>
    <s v="USR-100197"/>
    <d v="2025-02-27T00:00:00"/>
    <x v="0"/>
    <s v="North"/>
    <s v="Mobile"/>
    <s v="Social"/>
    <s v="Basic"/>
    <n v="1"/>
    <n v="1"/>
    <n v="1"/>
    <n v="1"/>
    <n v="1052.8"/>
    <n v="2"/>
    <n v="0"/>
    <n v="6"/>
    <n v="64.7"/>
  </r>
  <r>
    <s v="USR-100198"/>
    <d v="2025-04-26T00:00:00"/>
    <x v="0"/>
    <s v="South"/>
    <s v="Mobile"/>
    <s v="Paid Search"/>
    <s v="Basic"/>
    <n v="0"/>
    <n v="0"/>
    <n v="0"/>
    <n v="0"/>
    <n v="0"/>
    <n v="0"/>
    <n v="0"/>
    <m/>
    <n v="65.900000000000006"/>
  </r>
  <r>
    <s v="USR-100199"/>
    <d v="2025-05-14T00:00:00"/>
    <x v="0"/>
    <s v="North"/>
    <s v="Mobile"/>
    <s v="Organic"/>
    <s v="Basic"/>
    <n v="1"/>
    <n v="0"/>
    <n v="0"/>
    <n v="0"/>
    <n v="0"/>
    <n v="0"/>
    <n v="0"/>
    <m/>
    <n v="64"/>
  </r>
  <r>
    <s v="USR-100200"/>
    <d v="2025-03-05T00:00:00"/>
    <x v="0"/>
    <s v="North"/>
    <s v="Mobile"/>
    <s v="Organic"/>
    <s v="Premium"/>
    <n v="1"/>
    <n v="0"/>
    <n v="0"/>
    <n v="0"/>
    <n v="0"/>
    <n v="0"/>
    <n v="0"/>
    <m/>
    <n v="57.2"/>
  </r>
  <r>
    <s v="USR-100201"/>
    <d v="2025-04-02T00:00:00"/>
    <x v="0"/>
    <s v="West"/>
    <s v="Desktop"/>
    <s v="Organic"/>
    <s v="Free"/>
    <n v="1"/>
    <n v="0"/>
    <n v="0"/>
    <n v="0"/>
    <n v="0"/>
    <n v="0"/>
    <n v="0"/>
    <m/>
    <n v="80.5"/>
  </r>
  <r>
    <s v="USR-100202"/>
    <d v="2025-05-14T00:00:00"/>
    <x v="0"/>
    <s v="South"/>
    <s v="Tablet"/>
    <s v="Organic"/>
    <s v="Free"/>
    <n v="0"/>
    <n v="0"/>
    <n v="0"/>
    <n v="0"/>
    <n v="0"/>
    <n v="0"/>
    <n v="0"/>
    <m/>
    <n v="53.9"/>
  </r>
  <r>
    <s v="USR-100203"/>
    <d v="2025-05-21T00:00:00"/>
    <x v="0"/>
    <s v="North"/>
    <s v="Mobile"/>
    <s v="Paid Search"/>
    <s v="Free"/>
    <n v="1"/>
    <n v="1"/>
    <n v="0"/>
    <n v="0"/>
    <n v="0"/>
    <n v="0"/>
    <n v="0"/>
    <m/>
    <n v="77.5"/>
  </r>
  <r>
    <s v="USR-100204"/>
    <d v="2025-01-27T00:00:00"/>
    <x v="0"/>
    <s v="East"/>
    <s v="Mobile"/>
    <s v="Social"/>
    <s v="Basic"/>
    <n v="0"/>
    <n v="0"/>
    <n v="0"/>
    <n v="0"/>
    <n v="0"/>
    <n v="0"/>
    <n v="0"/>
    <m/>
    <n v="84.2"/>
  </r>
  <r>
    <s v="USR-100205"/>
    <d v="2025-05-22T00:00:00"/>
    <x v="0"/>
    <s v="West"/>
    <s v="Desktop"/>
    <s v="Organic"/>
    <s v="Free"/>
    <n v="1"/>
    <n v="1"/>
    <n v="0"/>
    <n v="0"/>
    <n v="0"/>
    <n v="0"/>
    <n v="0"/>
    <m/>
    <n v="54.9"/>
  </r>
  <r>
    <s v="USR-100206"/>
    <d v="2025-05-19T00:00:00"/>
    <x v="0"/>
    <s v="South"/>
    <s v="Mobile"/>
    <s v="Paid Search"/>
    <s v="Free"/>
    <n v="0"/>
    <n v="0"/>
    <n v="0"/>
    <n v="0"/>
    <n v="0"/>
    <n v="0"/>
    <n v="0"/>
    <m/>
    <n v="69.3"/>
  </r>
  <r>
    <s v="USR-100207"/>
    <d v="2025-01-14T00:00:00"/>
    <x v="0"/>
    <s v="South"/>
    <s v="Desktop"/>
    <s v="Paid Search"/>
    <s v="Free"/>
    <n v="1"/>
    <n v="0"/>
    <n v="0"/>
    <n v="0"/>
    <n v="0"/>
    <n v="2"/>
    <n v="0"/>
    <m/>
    <n v="42.3"/>
  </r>
  <r>
    <s v="USR-100208"/>
    <d v="2025-01-21T00:00:00"/>
    <x v="0"/>
    <s v="North"/>
    <s v="Desktop"/>
    <s v="Referral"/>
    <s v="Premium"/>
    <n v="1"/>
    <n v="0"/>
    <n v="0"/>
    <n v="0"/>
    <n v="0"/>
    <n v="1"/>
    <n v="0"/>
    <m/>
    <n v="69.599999999999994"/>
  </r>
  <r>
    <s v="USR-100209"/>
    <d v="2025-05-16T00:00:00"/>
    <x v="0"/>
    <s v="East"/>
    <s v="Mobile"/>
    <s v="Organic"/>
    <s v="Free"/>
    <n v="0"/>
    <n v="0"/>
    <n v="0"/>
    <n v="0"/>
    <n v="0"/>
    <n v="0"/>
    <n v="0"/>
    <m/>
    <n v="40.700000000000003"/>
  </r>
  <r>
    <s v="USR-100210"/>
    <d v="2025-02-02T00:00:00"/>
    <x v="0"/>
    <s v="North"/>
    <s v="Mobile"/>
    <s v="Email"/>
    <s v="Free"/>
    <n v="1"/>
    <n v="0"/>
    <n v="0"/>
    <n v="0"/>
    <n v="0"/>
    <n v="0"/>
    <n v="0"/>
    <m/>
    <n v="54"/>
  </r>
  <r>
    <s v="USR-100211"/>
    <d v="2025-03-23T00:00:00"/>
    <x v="0"/>
    <s v="East"/>
    <m/>
    <s v="Referral"/>
    <s v="Free"/>
    <n v="1"/>
    <n v="1"/>
    <n v="1"/>
    <n v="1"/>
    <n v="553.37"/>
    <n v="0"/>
    <n v="0"/>
    <n v="5"/>
    <n v="46.3"/>
  </r>
  <r>
    <s v="USR-100212"/>
    <d v="2025-01-24T00:00:00"/>
    <x v="0"/>
    <s v="East"/>
    <s v="Mobile"/>
    <s v="Organic"/>
    <s v="Free"/>
    <n v="1"/>
    <n v="0"/>
    <n v="0"/>
    <n v="0"/>
    <n v="0"/>
    <n v="0"/>
    <n v="0"/>
    <m/>
    <n v="64.2"/>
  </r>
  <r>
    <s v="USR-100213"/>
    <d v="2025-04-12T00:00:00"/>
    <x v="0"/>
    <s v="North"/>
    <s v="Desktop"/>
    <s v="Organic"/>
    <s v="Free"/>
    <n v="1"/>
    <n v="0"/>
    <n v="0"/>
    <n v="0"/>
    <n v="0"/>
    <n v="0"/>
    <n v="0"/>
    <m/>
    <n v="75.2"/>
  </r>
  <r>
    <s v="USR-100214"/>
    <d v="2025-02-18T00:00:00"/>
    <x v="0"/>
    <s v="East"/>
    <s v="Desktop"/>
    <s v="Paid Search"/>
    <s v="Free"/>
    <n v="1"/>
    <n v="1"/>
    <n v="0"/>
    <n v="0"/>
    <n v="0"/>
    <n v="0"/>
    <n v="0"/>
    <m/>
    <n v="60.9"/>
  </r>
  <r>
    <s v="USR-100215"/>
    <d v="2025-05-28T00:00:00"/>
    <x v="0"/>
    <s v="South"/>
    <s v="Mobile"/>
    <s v="Email"/>
    <s v="Basic"/>
    <n v="1"/>
    <n v="1"/>
    <n v="1"/>
    <n v="0"/>
    <n v="0"/>
    <n v="0"/>
    <n v="0"/>
    <m/>
    <n v="62.1"/>
  </r>
  <r>
    <s v="USR-100216"/>
    <d v="2025-04-18T00:00:00"/>
    <x v="0"/>
    <s v="South"/>
    <s v="Mobile"/>
    <s v="Social"/>
    <s v="Basic"/>
    <n v="0"/>
    <n v="0"/>
    <n v="0"/>
    <n v="0"/>
    <n v="0"/>
    <n v="0"/>
    <n v="0"/>
    <m/>
    <n v="45.4"/>
  </r>
  <r>
    <s v="USR-100217"/>
    <d v="2025-03-27T00:00:00"/>
    <x v="0"/>
    <s v="North"/>
    <s v="Mobile"/>
    <s v="Paid Search"/>
    <s v="Basic"/>
    <n v="1"/>
    <n v="0"/>
    <n v="0"/>
    <n v="0"/>
    <n v="0"/>
    <n v="0"/>
    <n v="0"/>
    <m/>
    <n v="53.3"/>
  </r>
  <r>
    <s v="USR-100218"/>
    <d v="2025-02-25T00:00:00"/>
    <x v="0"/>
    <s v="North"/>
    <s v="Tablet"/>
    <s v="Social"/>
    <s v="Free"/>
    <n v="1"/>
    <n v="0"/>
    <n v="0"/>
    <n v="0"/>
    <n v="0"/>
    <n v="0"/>
    <n v="0"/>
    <m/>
    <m/>
  </r>
  <r>
    <s v="USR-100219"/>
    <d v="2025-02-19T00:00:00"/>
    <x v="0"/>
    <s v="East"/>
    <s v="Mobile"/>
    <s v="Paid Search"/>
    <s v="Free"/>
    <n v="0"/>
    <n v="0"/>
    <n v="0"/>
    <n v="0"/>
    <n v="0"/>
    <n v="1"/>
    <n v="0"/>
    <m/>
    <n v="38.200000000000003"/>
  </r>
  <r>
    <s v="USR-100220"/>
    <d v="2025-04-11T00:00:00"/>
    <x v="0"/>
    <s v="West"/>
    <s v="Mobile"/>
    <s v="Paid Search"/>
    <s v="Free"/>
    <n v="1"/>
    <n v="1"/>
    <n v="0"/>
    <n v="0"/>
    <n v="0"/>
    <n v="3"/>
    <n v="0"/>
    <m/>
    <n v="59"/>
  </r>
  <r>
    <s v="USR-100221"/>
    <d v="2025-01-22T00:00:00"/>
    <x v="0"/>
    <s v="East"/>
    <s v="Tablet"/>
    <s v="Referral"/>
    <s v="Premium"/>
    <n v="1"/>
    <n v="1"/>
    <n v="1"/>
    <n v="0"/>
    <n v="0"/>
    <n v="0"/>
    <n v="0"/>
    <m/>
    <n v="80.599999999999994"/>
  </r>
  <r>
    <s v="USR-100222"/>
    <d v="2025-01-12T00:00:00"/>
    <x v="0"/>
    <s v="South"/>
    <s v="Mobile"/>
    <s v="Social"/>
    <s v="Free"/>
    <n v="1"/>
    <n v="0"/>
    <n v="0"/>
    <n v="0"/>
    <n v="0"/>
    <n v="0"/>
    <n v="0"/>
    <m/>
    <n v="67"/>
  </r>
  <r>
    <s v="USR-100223"/>
    <d v="2025-02-17T00:00:00"/>
    <x v="0"/>
    <s v="West"/>
    <s v="Mobile"/>
    <s v="Email"/>
    <s v="Free"/>
    <n v="1"/>
    <n v="0"/>
    <n v="0"/>
    <n v="0"/>
    <n v="0"/>
    <n v="1"/>
    <n v="0"/>
    <m/>
    <n v="72.099999999999994"/>
  </r>
  <r>
    <s v="USR-100224"/>
    <d v="2025-04-11T00:00:00"/>
    <x v="0"/>
    <s v="West"/>
    <s v="Desktop"/>
    <s v="Organic"/>
    <s v="Free"/>
    <n v="0"/>
    <n v="0"/>
    <n v="0"/>
    <n v="0"/>
    <n v="0"/>
    <n v="0"/>
    <n v="0"/>
    <m/>
    <n v="74.099999999999994"/>
  </r>
  <r>
    <s v="USR-100225"/>
    <d v="2025-05-25T00:00:00"/>
    <x v="0"/>
    <s v="South"/>
    <s v="Mobile"/>
    <s v="Referral"/>
    <s v="Premium"/>
    <n v="0"/>
    <n v="0"/>
    <n v="0"/>
    <n v="0"/>
    <n v="0"/>
    <n v="0"/>
    <n v="0"/>
    <m/>
    <n v="84.8"/>
  </r>
  <r>
    <s v="USR-100226"/>
    <d v="2025-03-12T00:00:00"/>
    <x v="0"/>
    <s v="South"/>
    <s v="Mobile"/>
    <s v="Organic"/>
    <s v="Basic"/>
    <n v="1"/>
    <n v="0"/>
    <n v="0"/>
    <n v="0"/>
    <n v="0"/>
    <n v="0"/>
    <n v="0"/>
    <m/>
    <n v="33"/>
  </r>
  <r>
    <s v="USR-100227"/>
    <d v="2025-04-20T00:00:00"/>
    <x v="0"/>
    <s v="North"/>
    <s v="Tablet"/>
    <s v="Email"/>
    <s v="Free"/>
    <n v="0"/>
    <n v="0"/>
    <n v="0"/>
    <n v="0"/>
    <n v="0"/>
    <n v="0"/>
    <n v="0"/>
    <m/>
    <n v="52.5"/>
  </r>
  <r>
    <s v="USR-100228"/>
    <d v="2025-02-23T00:00:00"/>
    <x v="0"/>
    <s v="North"/>
    <s v="Tablet"/>
    <s v="Organic"/>
    <s v="Free"/>
    <n v="0"/>
    <n v="0"/>
    <n v="0"/>
    <n v="0"/>
    <n v="0"/>
    <n v="0"/>
    <n v="0"/>
    <m/>
    <n v="66.900000000000006"/>
  </r>
  <r>
    <s v="USR-100229"/>
    <d v="2025-01-24T00:00:00"/>
    <x v="0"/>
    <s v="North"/>
    <s v="Mobile"/>
    <s v="Organic"/>
    <s v="Basic"/>
    <n v="1"/>
    <n v="1"/>
    <n v="1"/>
    <n v="0"/>
    <n v="0"/>
    <n v="1"/>
    <n v="0"/>
    <m/>
    <n v="32.700000000000003"/>
  </r>
  <r>
    <s v="USR-100230"/>
    <d v="2025-01-16T00:00:00"/>
    <x v="0"/>
    <s v="West"/>
    <s v="Mobile"/>
    <s v="Organic"/>
    <s v="Premium"/>
    <n v="1"/>
    <n v="1"/>
    <n v="1"/>
    <n v="0"/>
    <n v="0"/>
    <n v="1"/>
    <n v="0"/>
    <m/>
    <n v="70.599999999999994"/>
  </r>
  <r>
    <s v="USR-100231"/>
    <d v="2025-02-17T00:00:00"/>
    <x v="0"/>
    <s v="North"/>
    <s v="Mobile"/>
    <s v="Social"/>
    <s v="Free"/>
    <n v="0"/>
    <n v="0"/>
    <n v="0"/>
    <n v="0"/>
    <n v="0"/>
    <n v="0"/>
    <n v="0"/>
    <m/>
    <n v="69.400000000000006"/>
  </r>
  <r>
    <s v="USR-100232"/>
    <d v="2025-05-04T00:00:00"/>
    <x v="0"/>
    <s v="North"/>
    <s v="Desktop"/>
    <s v="Organic"/>
    <s v="Basic"/>
    <n v="1"/>
    <n v="0"/>
    <n v="0"/>
    <n v="0"/>
    <n v="0"/>
    <n v="0"/>
    <n v="0"/>
    <m/>
    <n v="56.1"/>
  </r>
  <r>
    <s v="USR-100233"/>
    <d v="2025-01-12T00:00:00"/>
    <x v="0"/>
    <s v="West"/>
    <s v="Mobile"/>
    <s v="Organic"/>
    <s v="Basic"/>
    <n v="0"/>
    <n v="0"/>
    <n v="0"/>
    <n v="0"/>
    <n v="0"/>
    <n v="0"/>
    <n v="0"/>
    <m/>
    <n v="55.8"/>
  </r>
  <r>
    <s v="USR-100234"/>
    <d v="2025-04-28T00:00:00"/>
    <x v="0"/>
    <s v="North"/>
    <s v="Tablet"/>
    <s v="Organic"/>
    <s v="Free"/>
    <n v="0"/>
    <n v="0"/>
    <n v="0"/>
    <n v="0"/>
    <n v="0"/>
    <n v="0"/>
    <n v="0"/>
    <m/>
    <n v="49.3"/>
  </r>
  <r>
    <s v="USR-100235"/>
    <d v="2025-02-26T00:00:00"/>
    <x v="0"/>
    <s v="North"/>
    <s v="Mobile"/>
    <s v="Organic"/>
    <s v="Free"/>
    <n v="0"/>
    <n v="0"/>
    <n v="0"/>
    <n v="0"/>
    <n v="0"/>
    <n v="0"/>
    <n v="0"/>
    <m/>
    <n v="71.8"/>
  </r>
  <r>
    <s v="USR-100236"/>
    <d v="2025-03-18T00:00:00"/>
    <x v="0"/>
    <s v="West"/>
    <s v="Mobile"/>
    <s v="Social"/>
    <s v="Free"/>
    <n v="1"/>
    <n v="0"/>
    <n v="0"/>
    <n v="0"/>
    <n v="0"/>
    <n v="3"/>
    <n v="0"/>
    <m/>
    <n v="39.700000000000003"/>
  </r>
  <r>
    <s v="USR-100237"/>
    <d v="2025-03-01T00:00:00"/>
    <x v="0"/>
    <s v="South"/>
    <s v="Desktop"/>
    <s v="Organic"/>
    <s v="Premium"/>
    <n v="1"/>
    <n v="0"/>
    <n v="0"/>
    <n v="0"/>
    <n v="0"/>
    <n v="0"/>
    <n v="0"/>
    <m/>
    <n v="45.4"/>
  </r>
  <r>
    <s v="USR-100238"/>
    <d v="2025-04-05T00:00:00"/>
    <x v="0"/>
    <s v="North"/>
    <s v="Desktop"/>
    <s v="Social"/>
    <s v="Premium"/>
    <n v="1"/>
    <n v="0"/>
    <n v="0"/>
    <n v="0"/>
    <n v="0"/>
    <n v="0"/>
    <n v="0"/>
    <m/>
    <n v="69.900000000000006"/>
  </r>
  <r>
    <s v="USR-100239"/>
    <d v="2025-03-12T00:00:00"/>
    <x v="0"/>
    <s v="North"/>
    <s v="Desktop"/>
    <s v="Social"/>
    <s v="Free"/>
    <n v="1"/>
    <n v="1"/>
    <n v="1"/>
    <n v="0"/>
    <n v="0"/>
    <n v="0"/>
    <n v="0"/>
    <m/>
    <n v="56.1"/>
  </r>
  <r>
    <s v="USR-100240"/>
    <d v="2025-03-15T00:00:00"/>
    <x v="0"/>
    <s v="West"/>
    <s v="Mobile"/>
    <s v="Referral"/>
    <s v="Basic"/>
    <n v="1"/>
    <n v="1"/>
    <n v="0"/>
    <n v="0"/>
    <n v="0"/>
    <n v="0"/>
    <n v="0"/>
    <m/>
    <n v="45.9"/>
  </r>
  <r>
    <s v="USR-100241"/>
    <d v="2025-02-23T00:00:00"/>
    <x v="0"/>
    <s v="West"/>
    <s v="Mobile"/>
    <s v="Email"/>
    <s v="Free"/>
    <n v="0"/>
    <n v="0"/>
    <n v="0"/>
    <n v="0"/>
    <n v="0"/>
    <n v="0"/>
    <n v="0"/>
    <m/>
    <n v="65.8"/>
  </r>
  <r>
    <s v="USR-100242"/>
    <d v="2025-04-22T00:00:00"/>
    <x v="0"/>
    <s v="North"/>
    <s v="Mobile"/>
    <s v="Organic"/>
    <s v="Basic"/>
    <n v="1"/>
    <n v="0"/>
    <n v="0"/>
    <n v="0"/>
    <n v="0"/>
    <n v="0"/>
    <n v="0"/>
    <m/>
    <n v="48.2"/>
  </r>
  <r>
    <s v="USR-100243"/>
    <d v="2025-01-09T00:00:00"/>
    <x v="0"/>
    <s v="East"/>
    <s v="Mobile"/>
    <s v="Organic"/>
    <s v="Basic"/>
    <n v="1"/>
    <n v="1"/>
    <n v="1"/>
    <n v="0"/>
    <n v="0"/>
    <n v="0"/>
    <n v="0"/>
    <m/>
    <n v="81.099999999999994"/>
  </r>
  <r>
    <s v="USR-100244"/>
    <d v="2025-03-05T00:00:00"/>
    <x v="0"/>
    <s v="East"/>
    <s v="Tablet"/>
    <s v="Social"/>
    <s v="Premium"/>
    <n v="1"/>
    <n v="1"/>
    <n v="0"/>
    <n v="0"/>
    <n v="0"/>
    <n v="0"/>
    <n v="0"/>
    <m/>
    <n v="53.2"/>
  </r>
  <r>
    <s v="USR-100245"/>
    <d v="2025-01-28T00:00:00"/>
    <x v="0"/>
    <s v="North"/>
    <s v="Mobile"/>
    <s v="Social"/>
    <s v="Free"/>
    <n v="1"/>
    <n v="1"/>
    <n v="1"/>
    <n v="0"/>
    <n v="0"/>
    <n v="0"/>
    <n v="0"/>
    <m/>
    <n v="57.7"/>
  </r>
  <r>
    <s v="USR-100246"/>
    <d v="2025-01-21T00:00:00"/>
    <x v="0"/>
    <s v="West"/>
    <s v="Mobile"/>
    <s v="Paid Search"/>
    <s v="Premium"/>
    <n v="1"/>
    <n v="1"/>
    <n v="0"/>
    <n v="0"/>
    <n v="0"/>
    <n v="0"/>
    <n v="0"/>
    <m/>
    <n v="78.900000000000006"/>
  </r>
  <r>
    <s v="USR-100247"/>
    <d v="2025-03-14T00:00:00"/>
    <x v="0"/>
    <s v="South"/>
    <s v="Mobile"/>
    <s v="Referral"/>
    <s v="Basic"/>
    <n v="0"/>
    <n v="0"/>
    <n v="0"/>
    <n v="0"/>
    <n v="0"/>
    <n v="0"/>
    <n v="0"/>
    <m/>
    <n v="55.7"/>
  </r>
  <r>
    <s v="USR-100248"/>
    <d v="2025-02-03T00:00:00"/>
    <x v="0"/>
    <s v="West"/>
    <s v="Mobile"/>
    <s v="Paid Search"/>
    <s v="Free"/>
    <n v="0"/>
    <n v="0"/>
    <n v="0"/>
    <n v="0"/>
    <n v="0"/>
    <n v="0"/>
    <n v="0"/>
    <m/>
    <n v="52.3"/>
  </r>
  <r>
    <s v="USR-100249"/>
    <d v="2025-05-22T00:00:00"/>
    <x v="0"/>
    <s v="North"/>
    <s v="Mobile"/>
    <s v="Social"/>
    <s v="Free"/>
    <n v="1"/>
    <n v="0"/>
    <n v="0"/>
    <n v="0"/>
    <n v="0"/>
    <n v="0"/>
    <n v="0"/>
    <m/>
    <n v="51.5"/>
  </r>
  <r>
    <s v="USR-100250"/>
    <d v="2025-04-25T00:00:00"/>
    <x v="0"/>
    <s v="North"/>
    <s v="Desktop"/>
    <s v="Email"/>
    <s v="Free"/>
    <n v="1"/>
    <n v="0"/>
    <n v="0"/>
    <n v="0"/>
    <n v="0"/>
    <n v="0"/>
    <n v="0"/>
    <m/>
    <n v="70.8"/>
  </r>
  <r>
    <s v="USR-100251"/>
    <d v="2025-01-30T00:00:00"/>
    <x v="0"/>
    <s v="North"/>
    <s v="Desktop"/>
    <s v="Email"/>
    <s v="Basic"/>
    <n v="1"/>
    <n v="1"/>
    <n v="1"/>
    <n v="1"/>
    <n v="1250.78"/>
    <n v="0"/>
    <n v="0"/>
    <n v="10"/>
    <n v="39"/>
  </r>
  <r>
    <s v="USR-100252"/>
    <d v="2025-05-23T00:00:00"/>
    <x v="0"/>
    <s v="West"/>
    <s v="Mobile"/>
    <s v="Organic"/>
    <s v="Free"/>
    <n v="1"/>
    <n v="0"/>
    <n v="0"/>
    <n v="0"/>
    <n v="0"/>
    <n v="0"/>
    <n v="0"/>
    <m/>
    <n v="61.6"/>
  </r>
  <r>
    <s v="USR-100253"/>
    <d v="2025-02-14T00:00:00"/>
    <x v="0"/>
    <s v="East"/>
    <s v="Desktop"/>
    <s v="Organic"/>
    <s v="Free"/>
    <n v="1"/>
    <n v="1"/>
    <n v="1"/>
    <n v="0"/>
    <n v="0"/>
    <n v="0"/>
    <n v="0"/>
    <m/>
    <n v="46.8"/>
  </r>
  <r>
    <s v="USR-100254"/>
    <d v="2025-03-05T00:00:00"/>
    <x v="0"/>
    <s v="North"/>
    <s v="Mobile"/>
    <s v="Paid Search"/>
    <s v="Premium"/>
    <n v="0"/>
    <n v="0"/>
    <n v="0"/>
    <n v="0"/>
    <n v="0"/>
    <n v="1"/>
    <n v="0"/>
    <m/>
    <n v="58.5"/>
  </r>
  <r>
    <s v="USR-100255"/>
    <d v="2025-05-27T00:00:00"/>
    <x v="0"/>
    <s v="North"/>
    <s v="Mobile"/>
    <s v="Paid Search"/>
    <s v="Basic"/>
    <n v="0"/>
    <n v="0"/>
    <n v="0"/>
    <n v="0"/>
    <n v="0"/>
    <n v="0"/>
    <n v="0"/>
    <m/>
    <n v="70.900000000000006"/>
  </r>
  <r>
    <s v="USR-100256"/>
    <d v="2025-01-07T00:00:00"/>
    <x v="0"/>
    <s v="South"/>
    <s v="Mobile"/>
    <s v="Paid Search"/>
    <s v="Free"/>
    <n v="1"/>
    <n v="0"/>
    <n v="0"/>
    <n v="0"/>
    <n v="0"/>
    <n v="0"/>
    <n v="0"/>
    <m/>
    <n v="48.4"/>
  </r>
  <r>
    <s v="USR-100257"/>
    <d v="2025-04-21T00:00:00"/>
    <x v="0"/>
    <s v="North"/>
    <s v="Mobile"/>
    <s v="Email"/>
    <s v="Free"/>
    <n v="1"/>
    <n v="0"/>
    <n v="0"/>
    <n v="0"/>
    <n v="0"/>
    <n v="0"/>
    <n v="0"/>
    <m/>
    <n v="58"/>
  </r>
  <r>
    <s v="USR-100258"/>
    <d v="2025-05-13T00:00:00"/>
    <x v="0"/>
    <s v="North"/>
    <s v="Mobile"/>
    <s v="Paid Search"/>
    <s v="Free"/>
    <n v="0"/>
    <n v="0"/>
    <n v="0"/>
    <n v="0"/>
    <n v="0"/>
    <n v="0"/>
    <n v="0"/>
    <m/>
    <n v="61.6"/>
  </r>
  <r>
    <s v="USR-100259"/>
    <d v="2025-01-28T00:00:00"/>
    <x v="0"/>
    <s v="East"/>
    <s v="Desktop"/>
    <s v="Organic"/>
    <s v="Free"/>
    <n v="1"/>
    <n v="0"/>
    <n v="0"/>
    <n v="0"/>
    <n v="0"/>
    <n v="0"/>
    <n v="0"/>
    <m/>
    <n v="43.2"/>
  </r>
  <r>
    <s v="USR-100260"/>
    <d v="2025-03-16T00:00:00"/>
    <x v="0"/>
    <s v="East"/>
    <s v="Desktop"/>
    <s v="Paid Search"/>
    <s v="Basic"/>
    <n v="1"/>
    <n v="0"/>
    <n v="0"/>
    <n v="0"/>
    <n v="0"/>
    <n v="1"/>
    <n v="0"/>
    <m/>
    <n v="53.3"/>
  </r>
  <r>
    <s v="USR-100261"/>
    <d v="2025-04-10T00:00:00"/>
    <x v="0"/>
    <s v="East"/>
    <s v="Desktop"/>
    <s v="Social"/>
    <s v="Basic"/>
    <n v="0"/>
    <n v="0"/>
    <n v="0"/>
    <n v="0"/>
    <n v="0"/>
    <n v="0"/>
    <n v="0"/>
    <m/>
    <n v="33.9"/>
  </r>
  <r>
    <s v="USR-100262"/>
    <d v="2025-03-15T00:00:00"/>
    <x v="0"/>
    <s v="East"/>
    <s v="Desktop"/>
    <s v="Referral"/>
    <s v="Free"/>
    <n v="1"/>
    <n v="1"/>
    <n v="1"/>
    <n v="0"/>
    <n v="0"/>
    <n v="0"/>
    <n v="0"/>
    <m/>
    <n v="35.4"/>
  </r>
  <r>
    <s v="USR-100263"/>
    <d v="2025-04-07T00:00:00"/>
    <x v="0"/>
    <s v="West"/>
    <s v="Desktop"/>
    <s v="Organic"/>
    <s v="Basic"/>
    <n v="1"/>
    <n v="0"/>
    <n v="0"/>
    <n v="0"/>
    <n v="0"/>
    <n v="0"/>
    <n v="0"/>
    <m/>
    <n v="45"/>
  </r>
  <r>
    <s v="USR-100264"/>
    <d v="2025-02-12T00:00:00"/>
    <x v="0"/>
    <s v="South"/>
    <s v="Mobile"/>
    <s v="Organic"/>
    <s v="Free"/>
    <n v="1"/>
    <n v="1"/>
    <n v="0"/>
    <n v="0"/>
    <n v="0"/>
    <n v="0"/>
    <n v="0"/>
    <m/>
    <n v="86.5"/>
  </r>
  <r>
    <s v="USR-100265"/>
    <d v="2025-05-05T00:00:00"/>
    <x v="0"/>
    <s v="West"/>
    <s v="Mobile"/>
    <s v="Social"/>
    <s v="Free"/>
    <n v="0"/>
    <n v="0"/>
    <n v="0"/>
    <n v="0"/>
    <n v="0"/>
    <n v="0"/>
    <n v="0"/>
    <m/>
    <n v="58.1"/>
  </r>
  <r>
    <s v="USR-100266"/>
    <d v="2025-03-11T00:00:00"/>
    <x v="0"/>
    <s v="West"/>
    <s v="Mobile"/>
    <s v="Referral"/>
    <s v="Free"/>
    <n v="1"/>
    <n v="0"/>
    <n v="0"/>
    <n v="0"/>
    <n v="0"/>
    <n v="0"/>
    <n v="0"/>
    <m/>
    <n v="36.1"/>
  </r>
  <r>
    <s v="USR-100267"/>
    <d v="2025-02-10T00:00:00"/>
    <x v="0"/>
    <s v="East"/>
    <s v="Mobile"/>
    <s v="Social"/>
    <s v="Free"/>
    <n v="0"/>
    <n v="0"/>
    <n v="0"/>
    <n v="0"/>
    <n v="0"/>
    <n v="0"/>
    <n v="0"/>
    <m/>
    <n v="62.8"/>
  </r>
  <r>
    <s v="USR-100268"/>
    <d v="2025-04-06T00:00:00"/>
    <x v="0"/>
    <s v="South"/>
    <s v="Mobile"/>
    <s v="Organic"/>
    <s v="Free"/>
    <n v="0"/>
    <n v="0"/>
    <n v="0"/>
    <n v="0"/>
    <n v="0"/>
    <n v="0"/>
    <n v="0"/>
    <m/>
    <n v="54.2"/>
  </r>
  <r>
    <s v="USR-100269"/>
    <d v="2025-01-06T00:00:00"/>
    <x v="0"/>
    <s v="East"/>
    <s v="Mobile"/>
    <s v="Referral"/>
    <s v="Free"/>
    <n v="0"/>
    <n v="0"/>
    <n v="0"/>
    <n v="0"/>
    <n v="0"/>
    <n v="0"/>
    <n v="0"/>
    <m/>
    <n v="50"/>
  </r>
  <r>
    <s v="USR-100270"/>
    <d v="2025-03-25T00:00:00"/>
    <x v="0"/>
    <s v="East"/>
    <s v="Tablet"/>
    <s v="Paid Search"/>
    <s v="Basic"/>
    <n v="1"/>
    <n v="0"/>
    <n v="0"/>
    <n v="0"/>
    <n v="0"/>
    <n v="0"/>
    <n v="0"/>
    <m/>
    <n v="62"/>
  </r>
  <r>
    <s v="USR-100271"/>
    <d v="2025-02-13T00:00:00"/>
    <x v="0"/>
    <s v="East"/>
    <s v="Desktop"/>
    <s v="Referral"/>
    <s v="Free"/>
    <n v="1"/>
    <n v="0"/>
    <n v="0"/>
    <n v="0"/>
    <n v="0"/>
    <n v="0"/>
    <n v="0"/>
    <m/>
    <n v="29.3"/>
  </r>
  <r>
    <s v="USR-100272"/>
    <d v="2025-03-17T00:00:00"/>
    <x v="0"/>
    <s v="West"/>
    <s v="Desktop"/>
    <s v="Organic"/>
    <s v="Free"/>
    <n v="1"/>
    <n v="0"/>
    <n v="0"/>
    <n v="0"/>
    <n v="0"/>
    <n v="0"/>
    <n v="0"/>
    <m/>
    <n v="67.900000000000006"/>
  </r>
  <r>
    <s v="USR-100273"/>
    <d v="2025-05-10T00:00:00"/>
    <x v="0"/>
    <s v="North"/>
    <s v="Mobile"/>
    <s v="Referral"/>
    <s v="Free"/>
    <n v="1"/>
    <n v="1"/>
    <n v="1"/>
    <n v="0"/>
    <n v="0"/>
    <n v="0"/>
    <n v="0"/>
    <m/>
    <n v="67.599999999999994"/>
  </r>
  <r>
    <s v="USR-100274"/>
    <d v="2025-05-07T00:00:00"/>
    <x v="0"/>
    <s v="South"/>
    <s v="Mobile"/>
    <s v="Paid Search"/>
    <s v="Basic"/>
    <n v="0"/>
    <n v="0"/>
    <n v="0"/>
    <n v="0"/>
    <n v="0"/>
    <n v="0"/>
    <n v="0"/>
    <m/>
    <n v="67.400000000000006"/>
  </r>
  <r>
    <s v="USR-100275"/>
    <d v="2025-02-26T00:00:00"/>
    <x v="0"/>
    <s v="West"/>
    <s v="Desktop"/>
    <s v="Paid Search"/>
    <s v="Premium"/>
    <n v="0"/>
    <n v="0"/>
    <n v="0"/>
    <n v="0"/>
    <n v="0"/>
    <n v="2"/>
    <n v="0"/>
    <m/>
    <n v="53"/>
  </r>
  <r>
    <s v="USR-100276"/>
    <d v="2025-05-11T00:00:00"/>
    <x v="0"/>
    <s v="North"/>
    <s v="Mobile"/>
    <s v="Organic"/>
    <s v="Basic"/>
    <n v="0"/>
    <n v="0"/>
    <n v="0"/>
    <n v="0"/>
    <n v="0"/>
    <n v="0"/>
    <n v="0"/>
    <m/>
    <n v="65.5"/>
  </r>
  <r>
    <s v="USR-100277"/>
    <d v="2025-03-20T00:00:00"/>
    <x v="0"/>
    <s v="South"/>
    <s v="Mobile"/>
    <s v="Organic"/>
    <s v="Basic"/>
    <n v="1"/>
    <n v="1"/>
    <n v="0"/>
    <n v="0"/>
    <n v="0"/>
    <n v="0"/>
    <n v="0"/>
    <m/>
    <n v="49.6"/>
  </r>
  <r>
    <s v="USR-100278"/>
    <d v="2025-01-19T00:00:00"/>
    <x v="0"/>
    <s v="North"/>
    <s v="Mobile"/>
    <s v="Email"/>
    <s v="Free"/>
    <n v="1"/>
    <n v="1"/>
    <n v="0"/>
    <n v="0"/>
    <n v="0"/>
    <n v="0"/>
    <n v="0"/>
    <m/>
    <n v="74.5"/>
  </r>
  <r>
    <s v="USR-100279"/>
    <d v="2025-03-08T00:00:00"/>
    <x v="0"/>
    <s v="North"/>
    <s v="Tablet"/>
    <s v="Paid Search"/>
    <s v="Premium"/>
    <n v="1"/>
    <n v="0"/>
    <n v="0"/>
    <n v="0"/>
    <n v="0"/>
    <n v="1"/>
    <n v="0"/>
    <m/>
    <n v="46.9"/>
  </r>
  <r>
    <s v="USR-100280"/>
    <d v="2025-04-25T00:00:00"/>
    <x v="0"/>
    <s v="North"/>
    <s v="Mobile"/>
    <s v="Organic"/>
    <s v="Free"/>
    <n v="0"/>
    <n v="0"/>
    <n v="0"/>
    <n v="0"/>
    <n v="0"/>
    <n v="0"/>
    <n v="0"/>
    <m/>
    <n v="87.1"/>
  </r>
  <r>
    <s v="USR-100281"/>
    <d v="2025-04-04T00:00:00"/>
    <x v="0"/>
    <s v="North"/>
    <s v="Desktop"/>
    <s v="Organic"/>
    <s v="Free"/>
    <n v="1"/>
    <n v="0"/>
    <n v="0"/>
    <n v="0"/>
    <n v="0"/>
    <n v="0"/>
    <n v="0"/>
    <m/>
    <n v="56"/>
  </r>
  <r>
    <s v="USR-100282"/>
    <d v="2025-05-01T00:00:00"/>
    <x v="0"/>
    <s v="East"/>
    <s v="Mobile"/>
    <s v="Paid Search"/>
    <s v="Premium"/>
    <n v="1"/>
    <n v="0"/>
    <n v="0"/>
    <n v="0"/>
    <n v="0"/>
    <n v="1"/>
    <n v="0"/>
    <m/>
    <n v="61.7"/>
  </r>
  <r>
    <s v="USR-100283"/>
    <d v="2025-01-21T00:00:00"/>
    <x v="0"/>
    <s v="South"/>
    <s v="Mobile"/>
    <s v="Social"/>
    <s v="Free"/>
    <n v="1"/>
    <n v="0"/>
    <n v="0"/>
    <n v="0"/>
    <n v="0"/>
    <n v="1"/>
    <n v="0"/>
    <m/>
    <n v="70.5"/>
  </r>
  <r>
    <s v="USR-100284"/>
    <d v="2025-02-10T00:00:00"/>
    <x v="0"/>
    <s v="North"/>
    <s v="Desktop"/>
    <s v="Referral"/>
    <s v="Basic"/>
    <n v="1"/>
    <n v="0"/>
    <n v="0"/>
    <n v="0"/>
    <n v="0"/>
    <n v="0"/>
    <n v="0"/>
    <m/>
    <n v="33.4"/>
  </r>
  <r>
    <s v="USR-100285"/>
    <d v="2025-05-06T00:00:00"/>
    <x v="0"/>
    <s v="South"/>
    <s v="Desktop"/>
    <s v="Organic"/>
    <s v="Free"/>
    <n v="1"/>
    <n v="0"/>
    <n v="0"/>
    <n v="0"/>
    <n v="0"/>
    <n v="0"/>
    <n v="0"/>
    <m/>
    <n v="57.5"/>
  </r>
  <r>
    <s v="USR-100286"/>
    <d v="2025-02-08T00:00:00"/>
    <x v="0"/>
    <s v="North"/>
    <s v="Desktop"/>
    <s v="Paid Search"/>
    <s v="Basic"/>
    <n v="1"/>
    <n v="1"/>
    <n v="0"/>
    <n v="0"/>
    <n v="0"/>
    <n v="0"/>
    <n v="0"/>
    <m/>
    <n v="85.7"/>
  </r>
  <r>
    <s v="USR-100287"/>
    <d v="2025-05-31T00:00:00"/>
    <x v="0"/>
    <s v="East"/>
    <s v="Mobile"/>
    <s v="Social"/>
    <s v="Free"/>
    <n v="1"/>
    <n v="0"/>
    <n v="0"/>
    <n v="0"/>
    <n v="0"/>
    <n v="0"/>
    <n v="0"/>
    <m/>
    <n v="41.9"/>
  </r>
  <r>
    <s v="USR-100288"/>
    <d v="2025-02-07T00:00:00"/>
    <x v="0"/>
    <s v="West"/>
    <s v="Mobile"/>
    <s v="Email"/>
    <s v="Basic"/>
    <n v="1"/>
    <n v="0"/>
    <n v="0"/>
    <n v="0"/>
    <n v="0"/>
    <n v="0"/>
    <n v="0"/>
    <m/>
    <n v="70.2"/>
  </r>
  <r>
    <s v="USR-100289"/>
    <d v="2025-02-10T00:00:00"/>
    <x v="0"/>
    <s v="North"/>
    <s v="Mobile"/>
    <s v="Social"/>
    <s v="Free"/>
    <n v="1"/>
    <n v="0"/>
    <n v="0"/>
    <n v="0"/>
    <n v="0"/>
    <n v="0"/>
    <n v="0"/>
    <m/>
    <n v="42.6"/>
  </r>
  <r>
    <s v="USR-100290"/>
    <d v="2025-01-31T00:00:00"/>
    <x v="0"/>
    <s v="West"/>
    <s v="Mobile"/>
    <s v="Social"/>
    <s v="Basic"/>
    <n v="0"/>
    <n v="0"/>
    <n v="0"/>
    <n v="0"/>
    <n v="0"/>
    <n v="2"/>
    <n v="0"/>
    <m/>
    <n v="30.4"/>
  </r>
  <r>
    <s v="USR-100291"/>
    <d v="2025-03-16T00:00:00"/>
    <x v="0"/>
    <s v="East"/>
    <s v="Mobile"/>
    <s v="Paid Search"/>
    <s v="Basic"/>
    <n v="1"/>
    <n v="0"/>
    <n v="0"/>
    <n v="0"/>
    <n v="0"/>
    <n v="0"/>
    <n v="0"/>
    <m/>
    <n v="63.7"/>
  </r>
  <r>
    <s v="USR-100292"/>
    <d v="2025-04-24T00:00:00"/>
    <x v="0"/>
    <s v="South"/>
    <s v="Mobile"/>
    <s v="Social"/>
    <s v="Basic"/>
    <n v="0"/>
    <n v="0"/>
    <n v="0"/>
    <n v="0"/>
    <n v="0"/>
    <n v="0"/>
    <n v="0"/>
    <m/>
    <n v="42.7"/>
  </r>
  <r>
    <s v="USR-100293"/>
    <d v="2025-01-28T00:00:00"/>
    <x v="0"/>
    <s v="North"/>
    <s v="Mobile"/>
    <s v="Organic"/>
    <s v="Free"/>
    <n v="0"/>
    <n v="0"/>
    <n v="0"/>
    <n v="0"/>
    <n v="0"/>
    <n v="0"/>
    <n v="0"/>
    <m/>
    <n v="74.3"/>
  </r>
  <r>
    <s v="USR-100294"/>
    <d v="2025-02-16T00:00:00"/>
    <x v="0"/>
    <s v="West"/>
    <s v="Desktop"/>
    <s v="Email"/>
    <s v="Free"/>
    <n v="1"/>
    <n v="0"/>
    <n v="0"/>
    <n v="0"/>
    <n v="0"/>
    <n v="0"/>
    <n v="0"/>
    <m/>
    <n v="40.6"/>
  </r>
  <r>
    <s v="USR-100295"/>
    <d v="2025-03-23T00:00:00"/>
    <x v="0"/>
    <s v="East"/>
    <s v="Mobile"/>
    <s v="Organic"/>
    <s v="Premium"/>
    <n v="0"/>
    <n v="0"/>
    <n v="0"/>
    <n v="0"/>
    <n v="0"/>
    <n v="0"/>
    <n v="0"/>
    <m/>
    <n v="67"/>
  </r>
  <r>
    <s v="USR-100296"/>
    <d v="2025-05-31T00:00:00"/>
    <x v="0"/>
    <s v="East"/>
    <s v="Mobile"/>
    <s v="Paid Search"/>
    <s v="Premium"/>
    <n v="0"/>
    <n v="0"/>
    <n v="0"/>
    <n v="0"/>
    <n v="0"/>
    <n v="0"/>
    <n v="0"/>
    <m/>
    <n v="51"/>
  </r>
  <r>
    <s v="USR-100297"/>
    <d v="2025-04-13T00:00:00"/>
    <x v="0"/>
    <s v="West"/>
    <s v="Mobile"/>
    <s v="Social"/>
    <s v="Basic"/>
    <n v="1"/>
    <n v="1"/>
    <n v="0"/>
    <n v="0"/>
    <n v="0"/>
    <n v="1"/>
    <n v="0"/>
    <m/>
    <n v="54.8"/>
  </r>
  <r>
    <s v="USR-100298"/>
    <d v="2025-05-14T00:00:00"/>
    <x v="0"/>
    <s v="North"/>
    <s v="Tablet"/>
    <s v="Email"/>
    <s v="Basic"/>
    <n v="0"/>
    <n v="0"/>
    <n v="0"/>
    <n v="0"/>
    <n v="0"/>
    <n v="0"/>
    <n v="0"/>
    <m/>
    <n v="40.799999999999997"/>
  </r>
  <r>
    <s v="USR-100299"/>
    <d v="2025-02-19T00:00:00"/>
    <x v="0"/>
    <s v="East"/>
    <s v="Mobile"/>
    <s v="Paid Search"/>
    <s v="Free"/>
    <n v="0"/>
    <n v="0"/>
    <n v="0"/>
    <n v="0"/>
    <n v="0"/>
    <n v="0"/>
    <n v="0"/>
    <m/>
    <n v="48.8"/>
  </r>
  <r>
    <s v="USR-100300"/>
    <d v="2025-01-24T00:00:00"/>
    <x v="0"/>
    <s v="South"/>
    <s v="Mobile"/>
    <m/>
    <s v="Basic"/>
    <n v="1"/>
    <n v="1"/>
    <n v="1"/>
    <n v="1"/>
    <n v="1198.69"/>
    <n v="1"/>
    <n v="0"/>
    <n v="6"/>
    <n v="88.9"/>
  </r>
  <r>
    <s v="USR-100301"/>
    <d v="2025-05-09T00:00:00"/>
    <x v="0"/>
    <s v="North"/>
    <s v="Mobile"/>
    <s v="Email"/>
    <s v="Basic"/>
    <n v="1"/>
    <n v="1"/>
    <n v="1"/>
    <n v="0"/>
    <n v="0"/>
    <n v="1"/>
    <n v="0"/>
    <m/>
    <n v="60.5"/>
  </r>
  <r>
    <s v="USR-100302"/>
    <d v="2025-02-11T00:00:00"/>
    <x v="0"/>
    <s v="North"/>
    <s v="Mobile"/>
    <s v="Organic"/>
    <s v="Basic"/>
    <n v="1"/>
    <n v="0"/>
    <n v="0"/>
    <n v="0"/>
    <n v="0"/>
    <n v="0"/>
    <n v="0"/>
    <m/>
    <n v="63.6"/>
  </r>
  <r>
    <s v="USR-100303"/>
    <d v="2025-02-26T00:00:00"/>
    <x v="0"/>
    <s v="North"/>
    <s v="Desktop"/>
    <s v="Organic"/>
    <s v="Basic"/>
    <n v="1"/>
    <n v="1"/>
    <n v="1"/>
    <n v="1"/>
    <n v="6788.95"/>
    <n v="0"/>
    <n v="0"/>
    <n v="17"/>
    <n v="58.4"/>
  </r>
  <r>
    <s v="USR-100304"/>
    <d v="2025-02-12T00:00:00"/>
    <x v="0"/>
    <s v="South"/>
    <s v="Mobile"/>
    <s v="Social"/>
    <s v="Premium"/>
    <n v="0"/>
    <n v="0"/>
    <n v="0"/>
    <n v="0"/>
    <n v="0"/>
    <n v="0"/>
    <n v="0"/>
    <m/>
    <n v="52.7"/>
  </r>
  <r>
    <s v="USR-100305"/>
    <d v="2025-01-05T00:00:00"/>
    <x v="0"/>
    <s v="South"/>
    <s v="Tablet"/>
    <s v="Social"/>
    <s v="Premium"/>
    <n v="1"/>
    <n v="1"/>
    <n v="1"/>
    <n v="0"/>
    <n v="0"/>
    <n v="2"/>
    <n v="0"/>
    <m/>
    <n v="48.9"/>
  </r>
  <r>
    <s v="USR-100306"/>
    <d v="2025-05-19T00:00:00"/>
    <x v="0"/>
    <s v="West"/>
    <s v="Mobile"/>
    <s v="Organic"/>
    <s v="Premium"/>
    <n v="0"/>
    <n v="0"/>
    <n v="0"/>
    <n v="0"/>
    <n v="0"/>
    <n v="0"/>
    <n v="0"/>
    <m/>
    <n v="79.7"/>
  </r>
  <r>
    <s v="USR-100307"/>
    <d v="2025-02-02T00:00:00"/>
    <x v="0"/>
    <s v="North"/>
    <s v="Mobile"/>
    <s v="Social"/>
    <s v="Free"/>
    <n v="1"/>
    <n v="0"/>
    <n v="0"/>
    <n v="0"/>
    <n v="0"/>
    <n v="0"/>
    <n v="0"/>
    <m/>
    <n v="44.9"/>
  </r>
  <r>
    <s v="USR-100308"/>
    <d v="2025-01-30T00:00:00"/>
    <x v="0"/>
    <s v="West"/>
    <s v="Tablet"/>
    <s v="Paid Search"/>
    <s v="Free"/>
    <n v="1"/>
    <n v="1"/>
    <n v="1"/>
    <n v="1"/>
    <n v="409.39"/>
    <n v="0"/>
    <n v="0"/>
    <n v="10"/>
    <n v="38.799999999999997"/>
  </r>
  <r>
    <s v="USR-100309"/>
    <d v="2025-05-01T00:00:00"/>
    <x v="0"/>
    <s v="South"/>
    <s v="Desktop"/>
    <s v="Email"/>
    <s v="Free"/>
    <n v="0"/>
    <n v="0"/>
    <n v="0"/>
    <n v="0"/>
    <n v="0"/>
    <n v="0"/>
    <n v="0"/>
    <m/>
    <n v="70"/>
  </r>
  <r>
    <s v="USR-100310"/>
    <d v="2025-05-16T00:00:00"/>
    <x v="0"/>
    <s v="South"/>
    <s v="Desktop"/>
    <s v="Referral"/>
    <s v="Basic"/>
    <n v="1"/>
    <n v="0"/>
    <n v="0"/>
    <n v="0"/>
    <n v="0"/>
    <n v="0"/>
    <n v="0"/>
    <m/>
    <n v="77.7"/>
  </r>
  <r>
    <s v="USR-100311"/>
    <d v="2025-03-08T00:00:00"/>
    <x v="0"/>
    <s v="West"/>
    <s v="Mobile"/>
    <s v="Organic"/>
    <s v="Free"/>
    <n v="0"/>
    <n v="0"/>
    <n v="0"/>
    <n v="0"/>
    <n v="0"/>
    <n v="0"/>
    <n v="0"/>
    <m/>
    <n v="71.2"/>
  </r>
  <r>
    <s v="USR-100312"/>
    <d v="2025-04-04T00:00:00"/>
    <x v="0"/>
    <s v="North"/>
    <s v="Mobile"/>
    <s v="Organic"/>
    <s v="Basic"/>
    <n v="1"/>
    <n v="0"/>
    <n v="0"/>
    <n v="0"/>
    <n v="0"/>
    <n v="0"/>
    <n v="0"/>
    <m/>
    <n v="43.8"/>
  </r>
  <r>
    <s v="USR-100313"/>
    <d v="2025-05-30T00:00:00"/>
    <x v="0"/>
    <s v="South"/>
    <s v="Tablet"/>
    <s v="Organic"/>
    <s v="Free"/>
    <n v="1"/>
    <n v="0"/>
    <n v="0"/>
    <n v="0"/>
    <n v="0"/>
    <n v="0"/>
    <n v="0"/>
    <m/>
    <n v="50.9"/>
  </r>
  <r>
    <s v="USR-100314"/>
    <d v="2025-01-05T00:00:00"/>
    <x v="0"/>
    <s v="West"/>
    <s v="Mobile"/>
    <s v="Organic"/>
    <s v="Premium"/>
    <n v="0"/>
    <n v="0"/>
    <n v="0"/>
    <n v="0"/>
    <n v="0"/>
    <n v="0"/>
    <n v="0"/>
    <m/>
    <n v="58.5"/>
  </r>
  <r>
    <s v="USR-100315"/>
    <d v="2025-01-20T00:00:00"/>
    <x v="0"/>
    <s v="East"/>
    <s v="Mobile"/>
    <s v="Organic"/>
    <s v="Free"/>
    <n v="1"/>
    <n v="1"/>
    <n v="1"/>
    <n v="0"/>
    <n v="0"/>
    <n v="0"/>
    <n v="0"/>
    <m/>
    <n v="53.6"/>
  </r>
  <r>
    <s v="USR-100316"/>
    <d v="2025-05-01T00:00:00"/>
    <x v="0"/>
    <s v="East"/>
    <s v="Mobile"/>
    <s v="Email"/>
    <s v="Free"/>
    <n v="0"/>
    <n v="0"/>
    <n v="0"/>
    <n v="0"/>
    <n v="0"/>
    <n v="0"/>
    <n v="0"/>
    <m/>
    <n v="54.9"/>
  </r>
  <r>
    <s v="USR-100317"/>
    <d v="2025-03-05T00:00:00"/>
    <x v="0"/>
    <s v="North"/>
    <s v="Desktop"/>
    <s v="Organic"/>
    <s v="Premium"/>
    <n v="0"/>
    <n v="0"/>
    <n v="0"/>
    <n v="0"/>
    <n v="0"/>
    <n v="0"/>
    <n v="0"/>
    <m/>
    <n v="57.3"/>
  </r>
  <r>
    <s v="USR-100318"/>
    <d v="2025-04-01T00:00:00"/>
    <x v="0"/>
    <s v="East"/>
    <s v="Desktop"/>
    <s v="Referral"/>
    <s v="Free"/>
    <n v="1"/>
    <n v="0"/>
    <n v="0"/>
    <n v="0"/>
    <n v="0"/>
    <n v="0"/>
    <n v="0"/>
    <m/>
    <n v="52.1"/>
  </r>
  <r>
    <s v="USR-100319"/>
    <d v="2025-05-03T00:00:00"/>
    <x v="0"/>
    <s v="North"/>
    <s v="Mobile"/>
    <s v="Organic"/>
    <s v="Free"/>
    <n v="1"/>
    <n v="0"/>
    <n v="0"/>
    <n v="0"/>
    <n v="0"/>
    <n v="0"/>
    <n v="0"/>
    <m/>
    <n v="80"/>
  </r>
  <r>
    <s v="USR-100320"/>
    <d v="2025-03-06T00:00:00"/>
    <x v="0"/>
    <s v="South"/>
    <s v="Desktop"/>
    <s v="Paid Search"/>
    <s v="Premium"/>
    <n v="1"/>
    <n v="0"/>
    <n v="0"/>
    <n v="0"/>
    <n v="0"/>
    <n v="0"/>
    <n v="0"/>
    <m/>
    <n v="39.299999999999997"/>
  </r>
  <r>
    <s v="USR-100321"/>
    <d v="2025-04-01T00:00:00"/>
    <x v="0"/>
    <s v="North"/>
    <s v="Desktop"/>
    <s v="Referral"/>
    <s v="Premium"/>
    <n v="0"/>
    <n v="0"/>
    <n v="0"/>
    <n v="0"/>
    <n v="0"/>
    <n v="0"/>
    <n v="0"/>
    <m/>
    <n v="45.7"/>
  </r>
  <r>
    <s v="USR-100322"/>
    <d v="2025-02-09T00:00:00"/>
    <x v="0"/>
    <s v="North"/>
    <s v="Desktop"/>
    <s v="Social"/>
    <s v="Basic"/>
    <n v="1"/>
    <n v="0"/>
    <n v="0"/>
    <n v="0"/>
    <n v="0"/>
    <n v="2"/>
    <n v="0"/>
    <m/>
    <n v="61.2"/>
  </r>
  <r>
    <s v="USR-100323"/>
    <d v="2025-04-12T00:00:00"/>
    <x v="0"/>
    <s v="West"/>
    <s v="Mobile"/>
    <s v="Organic"/>
    <s v="Basic"/>
    <n v="1"/>
    <n v="1"/>
    <n v="0"/>
    <n v="0"/>
    <n v="0"/>
    <n v="0"/>
    <n v="0"/>
    <m/>
    <n v="66.2"/>
  </r>
  <r>
    <s v="USR-100324"/>
    <d v="2025-03-18T00:00:00"/>
    <x v="0"/>
    <s v="East"/>
    <s v="Mobile"/>
    <s v="Social"/>
    <s v="Free"/>
    <n v="1"/>
    <n v="1"/>
    <n v="1"/>
    <n v="0"/>
    <n v="0"/>
    <n v="0"/>
    <n v="0"/>
    <m/>
    <n v="61.3"/>
  </r>
  <r>
    <s v="USR-100325"/>
    <d v="2025-04-03T00:00:00"/>
    <x v="0"/>
    <s v="East"/>
    <s v="Mobile"/>
    <s v="Paid Search"/>
    <s v="Free"/>
    <n v="1"/>
    <n v="0"/>
    <n v="0"/>
    <n v="0"/>
    <n v="0"/>
    <n v="0"/>
    <n v="0"/>
    <m/>
    <n v="72.2"/>
  </r>
  <r>
    <s v="USR-100326"/>
    <d v="2025-04-02T00:00:00"/>
    <x v="0"/>
    <s v="West"/>
    <s v="Mobile"/>
    <s v="Email"/>
    <s v="Premium"/>
    <n v="1"/>
    <n v="1"/>
    <n v="1"/>
    <n v="0"/>
    <n v="0"/>
    <n v="0"/>
    <n v="0"/>
    <m/>
    <n v="84"/>
  </r>
  <r>
    <s v="USR-100327"/>
    <d v="2025-05-10T00:00:00"/>
    <x v="0"/>
    <s v="West"/>
    <s v="Desktop"/>
    <s v="Email"/>
    <s v="Basic"/>
    <n v="0"/>
    <n v="0"/>
    <n v="0"/>
    <n v="0"/>
    <n v="0"/>
    <n v="0"/>
    <n v="0"/>
    <m/>
    <n v="59.8"/>
  </r>
  <r>
    <s v="USR-100328"/>
    <d v="2025-04-29T00:00:00"/>
    <x v="0"/>
    <s v="West"/>
    <s v="Desktop"/>
    <s v="Paid Search"/>
    <s v="Free"/>
    <n v="1"/>
    <n v="0"/>
    <n v="0"/>
    <n v="0"/>
    <n v="0"/>
    <n v="0"/>
    <n v="0"/>
    <m/>
    <n v="64.900000000000006"/>
  </r>
  <r>
    <s v="USR-100329"/>
    <d v="2025-02-27T00:00:00"/>
    <x v="0"/>
    <s v="South"/>
    <s v="Mobile"/>
    <s v="Paid Search"/>
    <s v="Free"/>
    <n v="1"/>
    <n v="0"/>
    <n v="0"/>
    <n v="0"/>
    <n v="0"/>
    <n v="0"/>
    <n v="0"/>
    <m/>
    <n v="66.8"/>
  </r>
  <r>
    <s v="USR-100330"/>
    <d v="2025-04-10T00:00:00"/>
    <x v="0"/>
    <s v="North"/>
    <s v="Desktop"/>
    <s v="Organic"/>
    <s v="Premium"/>
    <n v="0"/>
    <n v="0"/>
    <n v="0"/>
    <n v="0"/>
    <n v="0"/>
    <n v="0"/>
    <n v="0"/>
    <m/>
    <n v="70.900000000000006"/>
  </r>
  <r>
    <s v="USR-100331"/>
    <d v="2025-02-13T00:00:00"/>
    <x v="0"/>
    <s v="East"/>
    <s v="Mobile"/>
    <s v="Organic"/>
    <s v="Free"/>
    <n v="1"/>
    <n v="1"/>
    <n v="1"/>
    <n v="1"/>
    <n v="426.82"/>
    <n v="1"/>
    <n v="0"/>
    <n v="14"/>
    <n v="68.8"/>
  </r>
  <r>
    <s v="USR-100332"/>
    <d v="2025-05-03T00:00:00"/>
    <x v="0"/>
    <s v="North"/>
    <s v="Mobile"/>
    <s v="Organic"/>
    <s v="Basic"/>
    <n v="1"/>
    <n v="0"/>
    <n v="0"/>
    <n v="0"/>
    <n v="0"/>
    <n v="0"/>
    <n v="0"/>
    <m/>
    <n v="72.400000000000006"/>
  </r>
  <r>
    <s v="USR-100333"/>
    <d v="2025-03-10T00:00:00"/>
    <x v="0"/>
    <s v="East"/>
    <s v="Mobile"/>
    <s v="Organic"/>
    <s v="Basic"/>
    <n v="0"/>
    <n v="0"/>
    <n v="0"/>
    <n v="0"/>
    <n v="0"/>
    <n v="0"/>
    <n v="0"/>
    <m/>
    <n v="63.3"/>
  </r>
  <r>
    <s v="USR-100334"/>
    <d v="2025-01-10T00:00:00"/>
    <x v="0"/>
    <s v="West"/>
    <s v="Tablet"/>
    <s v="Social"/>
    <s v="Free"/>
    <n v="1"/>
    <n v="0"/>
    <n v="0"/>
    <n v="0"/>
    <n v="0"/>
    <n v="0"/>
    <n v="0"/>
    <m/>
    <n v="30.8"/>
  </r>
  <r>
    <s v="USR-100335"/>
    <d v="2025-01-16T00:00:00"/>
    <x v="0"/>
    <s v="South"/>
    <s v="Mobile"/>
    <s v="Email"/>
    <s v="Basic"/>
    <n v="1"/>
    <n v="1"/>
    <n v="1"/>
    <n v="1"/>
    <n v="874.55"/>
    <n v="0"/>
    <n v="0"/>
    <n v="9"/>
    <n v="44.2"/>
  </r>
  <r>
    <s v="USR-100336"/>
    <d v="2025-02-11T00:00:00"/>
    <x v="0"/>
    <s v="South"/>
    <s v="Desktop"/>
    <s v="Organic"/>
    <s v="Premium"/>
    <n v="1"/>
    <n v="1"/>
    <n v="1"/>
    <n v="1"/>
    <n v="2206.88"/>
    <n v="0"/>
    <n v="0"/>
    <n v="10"/>
    <n v="56.2"/>
  </r>
  <r>
    <s v="USR-100337"/>
    <d v="2025-04-13T00:00:00"/>
    <x v="0"/>
    <s v="West"/>
    <s v="Mobile"/>
    <s v="Organic"/>
    <s v="Free"/>
    <n v="0"/>
    <n v="0"/>
    <n v="0"/>
    <n v="0"/>
    <n v="0"/>
    <n v="0"/>
    <n v="0"/>
    <m/>
    <n v="40.4"/>
  </r>
  <r>
    <s v="USR-100338"/>
    <d v="2025-02-08T00:00:00"/>
    <x v="0"/>
    <s v="East"/>
    <s v="Mobile"/>
    <s v="Paid Search"/>
    <s v="Free"/>
    <n v="1"/>
    <n v="1"/>
    <n v="1"/>
    <n v="0"/>
    <n v="0"/>
    <n v="0"/>
    <n v="0"/>
    <m/>
    <n v="68.099999999999994"/>
  </r>
  <r>
    <s v="USR-100339"/>
    <d v="2025-03-31T00:00:00"/>
    <x v="0"/>
    <s v="West"/>
    <s v="Desktop"/>
    <s v="Referral"/>
    <s v="Free"/>
    <n v="1"/>
    <n v="0"/>
    <n v="0"/>
    <n v="0"/>
    <n v="0"/>
    <n v="0"/>
    <n v="0"/>
    <m/>
    <n v="86.3"/>
  </r>
  <r>
    <s v="USR-100340"/>
    <d v="2025-01-31T00:00:00"/>
    <x v="0"/>
    <s v="West"/>
    <s v="Desktop"/>
    <s v="Referral"/>
    <s v="Free"/>
    <n v="1"/>
    <n v="1"/>
    <n v="0"/>
    <n v="0"/>
    <n v="0"/>
    <n v="0"/>
    <n v="0"/>
    <m/>
    <n v="42.9"/>
  </r>
  <r>
    <s v="USR-100341"/>
    <d v="2025-05-08T00:00:00"/>
    <x v="0"/>
    <s v="West"/>
    <s v="Tablet"/>
    <s v="Organic"/>
    <s v="Free"/>
    <n v="0"/>
    <n v="0"/>
    <n v="0"/>
    <n v="0"/>
    <n v="0"/>
    <n v="0"/>
    <n v="0"/>
    <m/>
    <n v="61.4"/>
  </r>
  <r>
    <s v="USR-100342"/>
    <d v="2025-03-15T00:00:00"/>
    <x v="0"/>
    <s v="North"/>
    <s v="Mobile"/>
    <s v="Paid Search"/>
    <s v="Free"/>
    <n v="1"/>
    <n v="0"/>
    <n v="0"/>
    <n v="0"/>
    <n v="0"/>
    <n v="1"/>
    <n v="0"/>
    <m/>
    <n v="73.3"/>
  </r>
  <r>
    <s v="USR-100343"/>
    <d v="2025-01-13T00:00:00"/>
    <x v="0"/>
    <s v="South"/>
    <s v="Mobile"/>
    <s v="Referral"/>
    <s v="Basic"/>
    <n v="1"/>
    <n v="0"/>
    <n v="0"/>
    <n v="0"/>
    <n v="0"/>
    <n v="0"/>
    <n v="0"/>
    <m/>
    <n v="59.4"/>
  </r>
  <r>
    <s v="USR-100344"/>
    <d v="2025-03-07T00:00:00"/>
    <x v="0"/>
    <s v="South"/>
    <s v="Tablet"/>
    <s v="Organic"/>
    <s v="Basic"/>
    <n v="1"/>
    <n v="0"/>
    <n v="0"/>
    <n v="0"/>
    <n v="0"/>
    <n v="0"/>
    <n v="0"/>
    <m/>
    <n v="35.200000000000003"/>
  </r>
  <r>
    <s v="USR-100345"/>
    <d v="2025-02-10T00:00:00"/>
    <x v="0"/>
    <s v="South"/>
    <s v="Mobile"/>
    <s v="Social"/>
    <s v="Premium"/>
    <n v="1"/>
    <n v="1"/>
    <n v="0"/>
    <n v="0"/>
    <n v="0"/>
    <n v="0"/>
    <n v="0"/>
    <m/>
    <n v="55.3"/>
  </r>
  <r>
    <s v="USR-100346"/>
    <d v="2025-03-12T00:00:00"/>
    <x v="0"/>
    <s v="East"/>
    <s v="Mobile"/>
    <s v="Paid Search"/>
    <s v="Free"/>
    <n v="0"/>
    <n v="0"/>
    <n v="0"/>
    <n v="0"/>
    <n v="0"/>
    <n v="0"/>
    <n v="0"/>
    <m/>
    <n v="37.5"/>
  </r>
  <r>
    <s v="USR-100347"/>
    <d v="2025-01-03T00:00:00"/>
    <x v="0"/>
    <s v="South"/>
    <s v="Desktop"/>
    <s v="Paid Search"/>
    <s v="Free"/>
    <n v="0"/>
    <n v="0"/>
    <n v="0"/>
    <n v="0"/>
    <n v="0"/>
    <n v="1"/>
    <n v="0"/>
    <m/>
    <n v="66.400000000000006"/>
  </r>
  <r>
    <s v="USR-100348"/>
    <d v="2025-04-28T00:00:00"/>
    <x v="0"/>
    <s v="North"/>
    <s v="Tablet"/>
    <s v="Social"/>
    <s v="Basic"/>
    <n v="1"/>
    <n v="0"/>
    <n v="0"/>
    <n v="0"/>
    <n v="0"/>
    <n v="0"/>
    <n v="0"/>
    <m/>
    <n v="61.9"/>
  </r>
  <r>
    <s v="USR-100349"/>
    <d v="2025-04-17T00:00:00"/>
    <x v="0"/>
    <s v="East"/>
    <s v="Mobile"/>
    <s v="Organic"/>
    <s v="Free"/>
    <n v="0"/>
    <n v="0"/>
    <n v="0"/>
    <n v="0"/>
    <n v="0"/>
    <n v="0"/>
    <n v="0"/>
    <m/>
    <n v="56"/>
  </r>
  <r>
    <s v="USR-100350"/>
    <d v="2025-05-23T00:00:00"/>
    <x v="0"/>
    <s v="South"/>
    <s v="Desktop"/>
    <s v="Social"/>
    <s v="Basic"/>
    <n v="1"/>
    <n v="0"/>
    <n v="0"/>
    <n v="0"/>
    <n v="0"/>
    <n v="0"/>
    <n v="0"/>
    <m/>
    <n v="55.5"/>
  </r>
  <r>
    <s v="USR-100351"/>
    <d v="2025-02-19T00:00:00"/>
    <x v="0"/>
    <s v="West"/>
    <s v="Tablet"/>
    <s v="Referral"/>
    <s v="Basic"/>
    <n v="1"/>
    <n v="0"/>
    <n v="0"/>
    <n v="0"/>
    <n v="0"/>
    <n v="0"/>
    <n v="0"/>
    <m/>
    <n v="37.200000000000003"/>
  </r>
  <r>
    <s v="USR-100352"/>
    <d v="2025-01-18T00:00:00"/>
    <x v="0"/>
    <s v="South"/>
    <s v="Desktop"/>
    <s v="Organic"/>
    <s v="Free"/>
    <n v="1"/>
    <n v="1"/>
    <n v="0"/>
    <n v="0"/>
    <n v="0"/>
    <n v="1"/>
    <n v="0"/>
    <m/>
    <n v="70.5"/>
  </r>
  <r>
    <s v="USR-100353"/>
    <d v="2025-04-17T00:00:00"/>
    <x v="0"/>
    <s v="North"/>
    <s v="Mobile"/>
    <s v="Organic"/>
    <s v="Free"/>
    <n v="0"/>
    <n v="0"/>
    <n v="0"/>
    <n v="0"/>
    <n v="0"/>
    <n v="0"/>
    <n v="0"/>
    <m/>
    <n v="61.2"/>
  </r>
  <r>
    <s v="USR-100354"/>
    <d v="2025-04-12T00:00:00"/>
    <x v="0"/>
    <s v="East"/>
    <s v="Tablet"/>
    <s v="Social"/>
    <s v="Free"/>
    <n v="1"/>
    <n v="1"/>
    <n v="1"/>
    <n v="0"/>
    <n v="0"/>
    <n v="0"/>
    <n v="0"/>
    <m/>
    <n v="64.599999999999994"/>
  </r>
  <r>
    <s v="USR-100355"/>
    <d v="2025-05-16T00:00:00"/>
    <x v="0"/>
    <s v="East"/>
    <s v="Mobile"/>
    <s v="Email"/>
    <s v="Free"/>
    <n v="1"/>
    <n v="1"/>
    <n v="0"/>
    <n v="0"/>
    <n v="0"/>
    <n v="0"/>
    <n v="0"/>
    <m/>
    <n v="91.7"/>
  </r>
  <r>
    <s v="USR-100356"/>
    <d v="2025-03-24T00:00:00"/>
    <x v="0"/>
    <s v="West"/>
    <s v="Mobile"/>
    <s v="Social"/>
    <s v="Free"/>
    <n v="0"/>
    <n v="0"/>
    <n v="0"/>
    <n v="0"/>
    <n v="0"/>
    <n v="0"/>
    <n v="0"/>
    <m/>
    <n v="46"/>
  </r>
  <r>
    <s v="USR-100357"/>
    <d v="2025-02-16T00:00:00"/>
    <x v="0"/>
    <s v="West"/>
    <s v="Mobile"/>
    <s v="Organic"/>
    <s v="Basic"/>
    <n v="0"/>
    <n v="0"/>
    <n v="0"/>
    <n v="0"/>
    <n v="0"/>
    <n v="0"/>
    <n v="0"/>
    <m/>
    <n v="50.8"/>
  </r>
  <r>
    <s v="USR-100358"/>
    <d v="2025-03-19T00:00:00"/>
    <x v="0"/>
    <s v="North"/>
    <s v="Tablet"/>
    <s v="Organic"/>
    <s v="Free"/>
    <n v="1"/>
    <n v="1"/>
    <n v="1"/>
    <n v="0"/>
    <n v="0"/>
    <n v="0"/>
    <n v="0"/>
    <m/>
    <n v="52.8"/>
  </r>
  <r>
    <s v="USR-100359"/>
    <d v="2025-04-21T00:00:00"/>
    <x v="0"/>
    <s v="South"/>
    <s v="Mobile"/>
    <s v="Organic"/>
    <s v="Basic"/>
    <n v="1"/>
    <n v="1"/>
    <n v="1"/>
    <n v="0"/>
    <n v="0"/>
    <n v="0"/>
    <n v="0"/>
    <m/>
    <n v="63"/>
  </r>
  <r>
    <s v="USR-100360"/>
    <d v="2025-01-11T00:00:00"/>
    <x v="0"/>
    <s v="West"/>
    <s v="Mobile"/>
    <s v="Organic"/>
    <s v="Free"/>
    <n v="0"/>
    <n v="0"/>
    <n v="0"/>
    <n v="0"/>
    <n v="0"/>
    <n v="0"/>
    <n v="0"/>
    <m/>
    <n v="28.4"/>
  </r>
  <r>
    <s v="USR-100361"/>
    <d v="2025-04-24T00:00:00"/>
    <x v="0"/>
    <s v="West"/>
    <s v="Desktop"/>
    <s v="Organic"/>
    <s v="Free"/>
    <n v="1"/>
    <n v="1"/>
    <n v="0"/>
    <n v="0"/>
    <n v="0"/>
    <n v="0"/>
    <n v="0"/>
    <m/>
    <n v="65.599999999999994"/>
  </r>
  <r>
    <s v="USR-100362"/>
    <d v="2025-03-13T00:00:00"/>
    <x v="0"/>
    <s v="North"/>
    <s v="Mobile"/>
    <s v="Social"/>
    <s v="Premium"/>
    <n v="1"/>
    <n v="1"/>
    <n v="1"/>
    <n v="0"/>
    <n v="0"/>
    <n v="0"/>
    <n v="0"/>
    <m/>
    <n v="54.7"/>
  </r>
  <r>
    <s v="USR-100363"/>
    <d v="2025-01-30T00:00:00"/>
    <x v="0"/>
    <s v="North"/>
    <s v="Mobile"/>
    <s v="Social"/>
    <s v="Basic"/>
    <n v="0"/>
    <n v="0"/>
    <n v="0"/>
    <n v="0"/>
    <n v="0"/>
    <n v="0"/>
    <n v="0"/>
    <m/>
    <n v="36.1"/>
  </r>
  <r>
    <s v="USR-100364"/>
    <d v="2025-05-08T00:00:00"/>
    <x v="0"/>
    <s v="South"/>
    <s v="Mobile"/>
    <s v="Social"/>
    <s v="Basic"/>
    <n v="1"/>
    <n v="1"/>
    <n v="1"/>
    <n v="0"/>
    <n v="0"/>
    <n v="0"/>
    <n v="0"/>
    <m/>
    <n v="70.400000000000006"/>
  </r>
  <r>
    <s v="USR-100365"/>
    <d v="2025-01-08T00:00:00"/>
    <x v="0"/>
    <s v="East"/>
    <s v="Desktop"/>
    <s v="Social"/>
    <s v="Free"/>
    <n v="1"/>
    <n v="0"/>
    <n v="0"/>
    <n v="0"/>
    <n v="0"/>
    <n v="0"/>
    <n v="0"/>
    <m/>
    <n v="56.4"/>
  </r>
  <r>
    <s v="USR-100366"/>
    <d v="2025-05-03T00:00:00"/>
    <x v="0"/>
    <s v="South"/>
    <s v="Mobile"/>
    <s v="Organic"/>
    <s v="Free"/>
    <n v="1"/>
    <n v="0"/>
    <n v="0"/>
    <n v="0"/>
    <n v="0"/>
    <n v="0"/>
    <n v="0"/>
    <m/>
    <n v="79.2"/>
  </r>
  <r>
    <s v="USR-100367"/>
    <d v="2025-02-12T00:00:00"/>
    <x v="0"/>
    <s v="East"/>
    <s v="Mobile"/>
    <s v="Paid Search"/>
    <s v="Free"/>
    <n v="1"/>
    <n v="1"/>
    <n v="1"/>
    <n v="0"/>
    <n v="0"/>
    <n v="0"/>
    <n v="0"/>
    <m/>
    <n v="60.1"/>
  </r>
  <r>
    <s v="USR-100368"/>
    <d v="2025-02-25T00:00:00"/>
    <x v="0"/>
    <s v="South"/>
    <s v="Tablet"/>
    <s v="Organic"/>
    <s v="Free"/>
    <n v="0"/>
    <n v="0"/>
    <n v="0"/>
    <n v="0"/>
    <n v="0"/>
    <n v="0"/>
    <n v="0"/>
    <m/>
    <n v="58"/>
  </r>
  <r>
    <s v="USR-100369"/>
    <d v="2025-04-14T00:00:00"/>
    <x v="0"/>
    <s v="South"/>
    <s v="Mobile"/>
    <s v="Referral"/>
    <s v="Free"/>
    <n v="1"/>
    <n v="1"/>
    <n v="1"/>
    <n v="0"/>
    <n v="0"/>
    <n v="0"/>
    <n v="0"/>
    <m/>
    <n v="69"/>
  </r>
  <r>
    <s v="USR-100370"/>
    <d v="2025-01-08T00:00:00"/>
    <x v="0"/>
    <s v="North"/>
    <s v="Mobile"/>
    <s v="Referral"/>
    <s v="Premium"/>
    <n v="1"/>
    <n v="1"/>
    <n v="1"/>
    <n v="0"/>
    <n v="0"/>
    <n v="1"/>
    <n v="0"/>
    <m/>
    <n v="80.8"/>
  </r>
  <r>
    <s v="USR-100371"/>
    <d v="2025-03-14T00:00:00"/>
    <x v="0"/>
    <s v="East"/>
    <s v="Mobile"/>
    <s v="Email"/>
    <s v="Free"/>
    <n v="0"/>
    <n v="0"/>
    <n v="0"/>
    <n v="0"/>
    <n v="0"/>
    <n v="0"/>
    <n v="0"/>
    <m/>
    <n v="32.799999999999997"/>
  </r>
  <r>
    <s v="USR-100372"/>
    <d v="2025-04-29T00:00:00"/>
    <x v="0"/>
    <s v="North"/>
    <s v="Desktop"/>
    <s v="Paid Search"/>
    <s v="Premium"/>
    <n v="1"/>
    <n v="0"/>
    <n v="0"/>
    <n v="0"/>
    <n v="0"/>
    <n v="0"/>
    <n v="0"/>
    <m/>
    <n v="56"/>
  </r>
  <r>
    <s v="USR-100373"/>
    <d v="2025-05-01T00:00:00"/>
    <x v="0"/>
    <s v="East"/>
    <s v="Desktop"/>
    <s v="Social"/>
    <s v="Free"/>
    <n v="1"/>
    <n v="0"/>
    <n v="0"/>
    <n v="0"/>
    <n v="0"/>
    <n v="0"/>
    <n v="0"/>
    <m/>
    <n v="76.400000000000006"/>
  </r>
  <r>
    <s v="USR-100374"/>
    <d v="2025-03-19T00:00:00"/>
    <x v="0"/>
    <s v="North"/>
    <s v="Mobile"/>
    <s v="Referral"/>
    <s v="Free"/>
    <n v="1"/>
    <n v="0"/>
    <n v="0"/>
    <n v="0"/>
    <n v="0"/>
    <n v="0"/>
    <n v="0"/>
    <m/>
    <n v="28.5"/>
  </r>
  <r>
    <s v="USR-100375"/>
    <d v="2025-05-01T00:00:00"/>
    <x v="0"/>
    <s v="South"/>
    <s v="Desktop"/>
    <s v="Social"/>
    <s v="Basic"/>
    <n v="1"/>
    <n v="1"/>
    <n v="1"/>
    <n v="0"/>
    <n v="0"/>
    <n v="0"/>
    <n v="0"/>
    <m/>
    <n v="48.3"/>
  </r>
  <r>
    <s v="USR-100376"/>
    <d v="2025-03-14T00:00:00"/>
    <x v="0"/>
    <s v="West"/>
    <s v="Mobile"/>
    <s v="Organic"/>
    <s v="Free"/>
    <n v="1"/>
    <n v="1"/>
    <n v="0"/>
    <n v="0"/>
    <n v="0"/>
    <n v="0"/>
    <n v="0"/>
    <m/>
    <n v="43.4"/>
  </r>
  <r>
    <s v="USR-100377"/>
    <d v="2025-03-23T00:00:00"/>
    <x v="0"/>
    <s v="North"/>
    <s v="Mobile"/>
    <s v="Paid Search"/>
    <s v="Free"/>
    <n v="0"/>
    <n v="0"/>
    <n v="0"/>
    <n v="0"/>
    <n v="0"/>
    <n v="0"/>
    <n v="0"/>
    <m/>
    <n v="43"/>
  </r>
  <r>
    <s v="USR-100378"/>
    <d v="2025-02-08T00:00:00"/>
    <x v="0"/>
    <s v="East"/>
    <s v="Mobile"/>
    <s v="Referral"/>
    <s v="Basic"/>
    <n v="1"/>
    <n v="1"/>
    <n v="1"/>
    <n v="0"/>
    <n v="0"/>
    <n v="0"/>
    <n v="0"/>
    <m/>
    <n v="91.8"/>
  </r>
  <r>
    <s v="USR-100379"/>
    <d v="2025-04-15T00:00:00"/>
    <x v="0"/>
    <s v="West"/>
    <s v="Tablet"/>
    <s v="Paid Search"/>
    <s v="Basic"/>
    <n v="1"/>
    <n v="0"/>
    <n v="0"/>
    <n v="0"/>
    <n v="0"/>
    <n v="1"/>
    <n v="0"/>
    <m/>
    <n v="69.3"/>
  </r>
  <r>
    <s v="USR-100380"/>
    <d v="2025-01-03T00:00:00"/>
    <x v="0"/>
    <s v="South"/>
    <s v="Desktop"/>
    <s v="Paid Search"/>
    <s v="Basic"/>
    <n v="1"/>
    <n v="0"/>
    <n v="0"/>
    <n v="0"/>
    <n v="0"/>
    <n v="0"/>
    <n v="0"/>
    <m/>
    <n v="58.9"/>
  </r>
  <r>
    <s v="USR-100381"/>
    <d v="2025-03-23T00:00:00"/>
    <x v="0"/>
    <s v="West"/>
    <s v="Mobile"/>
    <s v="Social"/>
    <s v="Free"/>
    <n v="1"/>
    <n v="1"/>
    <n v="1"/>
    <n v="0"/>
    <n v="0"/>
    <n v="0"/>
    <n v="0"/>
    <m/>
    <n v="76"/>
  </r>
  <r>
    <s v="USR-100382"/>
    <d v="2025-05-27T00:00:00"/>
    <x v="0"/>
    <s v="South"/>
    <s v="Mobile"/>
    <s v="Referral"/>
    <s v="Premium"/>
    <n v="1"/>
    <n v="0"/>
    <n v="0"/>
    <n v="0"/>
    <n v="0"/>
    <n v="0"/>
    <n v="0"/>
    <m/>
    <n v="46"/>
  </r>
  <r>
    <s v="USR-100383"/>
    <d v="2025-04-30T00:00:00"/>
    <x v="0"/>
    <s v="East"/>
    <s v="Mobile"/>
    <s v="Organic"/>
    <s v="Free"/>
    <n v="1"/>
    <n v="0"/>
    <n v="0"/>
    <n v="0"/>
    <n v="0"/>
    <n v="0"/>
    <n v="0"/>
    <m/>
    <n v="54.1"/>
  </r>
  <r>
    <s v="USR-100384"/>
    <d v="2025-03-07T00:00:00"/>
    <x v="0"/>
    <s v="West"/>
    <s v="Mobile"/>
    <s v="Social"/>
    <s v="Basic"/>
    <n v="1"/>
    <n v="0"/>
    <n v="0"/>
    <n v="0"/>
    <n v="0"/>
    <n v="0"/>
    <n v="0"/>
    <m/>
    <n v="82.4"/>
  </r>
  <r>
    <s v="USR-100385"/>
    <d v="2025-05-10T00:00:00"/>
    <x v="0"/>
    <s v="South"/>
    <s v="Mobile"/>
    <s v="Organic"/>
    <s v="Basic"/>
    <n v="1"/>
    <n v="1"/>
    <n v="1"/>
    <n v="0"/>
    <n v="0"/>
    <n v="0"/>
    <n v="0"/>
    <m/>
    <n v="71.900000000000006"/>
  </r>
  <r>
    <s v="USR-100386"/>
    <d v="2025-05-22T00:00:00"/>
    <x v="0"/>
    <s v="East"/>
    <s v="Mobile"/>
    <s v="Organic"/>
    <s v="Free"/>
    <n v="0"/>
    <n v="0"/>
    <n v="0"/>
    <n v="0"/>
    <n v="0"/>
    <n v="2"/>
    <n v="0"/>
    <m/>
    <n v="38"/>
  </r>
  <r>
    <s v="USR-100387"/>
    <d v="2025-02-09T00:00:00"/>
    <x v="0"/>
    <s v="East"/>
    <s v="Mobile"/>
    <s v="Paid Search"/>
    <s v="Free"/>
    <n v="1"/>
    <n v="1"/>
    <n v="0"/>
    <n v="0"/>
    <n v="0"/>
    <n v="0"/>
    <n v="0"/>
    <m/>
    <n v="43.7"/>
  </r>
  <r>
    <s v="USR-100388"/>
    <d v="2025-05-30T00:00:00"/>
    <x v="0"/>
    <s v="West"/>
    <s v="Desktop"/>
    <s v="Organic"/>
    <s v="Premium"/>
    <n v="1"/>
    <n v="0"/>
    <n v="0"/>
    <n v="0"/>
    <n v="0"/>
    <n v="1"/>
    <n v="0"/>
    <m/>
    <n v="32.200000000000003"/>
  </r>
  <r>
    <s v="USR-100389"/>
    <d v="2025-05-01T00:00:00"/>
    <x v="0"/>
    <s v="South"/>
    <s v="Mobile"/>
    <s v="Organic"/>
    <s v="Premium"/>
    <n v="1"/>
    <n v="0"/>
    <n v="0"/>
    <n v="0"/>
    <n v="0"/>
    <n v="0"/>
    <n v="0"/>
    <m/>
    <n v="61"/>
  </r>
  <r>
    <s v="USR-100390"/>
    <d v="2025-01-03T00:00:00"/>
    <x v="0"/>
    <s v="South"/>
    <s v="Mobile"/>
    <s v="Paid Search"/>
    <s v="Free"/>
    <n v="1"/>
    <n v="0"/>
    <n v="0"/>
    <n v="0"/>
    <n v="0"/>
    <n v="0"/>
    <n v="0"/>
    <m/>
    <n v="49"/>
  </r>
  <r>
    <s v="USR-100391"/>
    <d v="2025-02-13T00:00:00"/>
    <x v="0"/>
    <s v="East"/>
    <s v="Mobile"/>
    <s v="Organic"/>
    <s v="Free"/>
    <n v="0"/>
    <n v="0"/>
    <n v="0"/>
    <n v="0"/>
    <n v="0"/>
    <n v="0"/>
    <n v="0"/>
    <m/>
    <n v="48.1"/>
  </r>
  <r>
    <s v="USR-100392"/>
    <d v="2025-01-14T00:00:00"/>
    <x v="0"/>
    <s v="South"/>
    <s v="Desktop"/>
    <s v="Organic"/>
    <s v="Free"/>
    <n v="0"/>
    <n v="0"/>
    <n v="0"/>
    <n v="0"/>
    <n v="0"/>
    <n v="2"/>
    <n v="0"/>
    <m/>
    <n v="46.3"/>
  </r>
  <r>
    <s v="USR-100393"/>
    <d v="2025-02-24T00:00:00"/>
    <x v="0"/>
    <s v="North"/>
    <s v="Mobile"/>
    <s v="Referral"/>
    <s v="Free"/>
    <n v="0"/>
    <n v="0"/>
    <n v="0"/>
    <n v="0"/>
    <n v="0"/>
    <n v="0"/>
    <n v="0"/>
    <m/>
    <n v="64"/>
  </r>
  <r>
    <s v="USR-100394"/>
    <d v="2025-05-16T00:00:00"/>
    <x v="0"/>
    <s v="West"/>
    <s v="Desktop"/>
    <s v="Organic"/>
    <s v="Basic"/>
    <n v="1"/>
    <n v="1"/>
    <n v="0"/>
    <n v="0"/>
    <n v="0"/>
    <n v="0"/>
    <n v="0"/>
    <m/>
    <n v="56.2"/>
  </r>
  <r>
    <s v="USR-100395"/>
    <d v="2025-04-29T00:00:00"/>
    <x v="0"/>
    <s v="North"/>
    <s v="Mobile"/>
    <s v="Paid Search"/>
    <s v="Free"/>
    <n v="1"/>
    <n v="1"/>
    <n v="1"/>
    <n v="0"/>
    <n v="0"/>
    <n v="0"/>
    <n v="0"/>
    <m/>
    <n v="77.5"/>
  </r>
  <r>
    <s v="USR-100396"/>
    <d v="2025-04-30T00:00:00"/>
    <x v="0"/>
    <s v="South"/>
    <s v="Desktop"/>
    <s v="Email"/>
    <s v="Basic"/>
    <n v="1"/>
    <n v="0"/>
    <n v="0"/>
    <n v="0"/>
    <n v="0"/>
    <n v="0"/>
    <n v="0"/>
    <m/>
    <n v="59.9"/>
  </r>
  <r>
    <s v="USR-100397"/>
    <d v="2025-01-09T00:00:00"/>
    <x v="0"/>
    <s v="South"/>
    <s v="Desktop"/>
    <s v="Organic"/>
    <s v="Free"/>
    <n v="1"/>
    <n v="1"/>
    <n v="0"/>
    <n v="0"/>
    <n v="0"/>
    <n v="0"/>
    <n v="0"/>
    <m/>
    <n v="63"/>
  </r>
  <r>
    <s v="USR-100398"/>
    <d v="2025-04-25T00:00:00"/>
    <x v="0"/>
    <s v="South"/>
    <s v="Mobile"/>
    <s v="Organic"/>
    <s v="Free"/>
    <n v="1"/>
    <n v="1"/>
    <n v="0"/>
    <n v="0"/>
    <n v="0"/>
    <n v="0"/>
    <n v="0"/>
    <m/>
    <n v="76.5"/>
  </r>
  <r>
    <s v="USR-100399"/>
    <d v="2025-03-12T00:00:00"/>
    <x v="0"/>
    <s v="North"/>
    <s v="Desktop"/>
    <s v="Paid Search"/>
    <s v="Free"/>
    <n v="1"/>
    <n v="0"/>
    <n v="0"/>
    <n v="0"/>
    <n v="0"/>
    <n v="0"/>
    <n v="0"/>
    <m/>
    <n v="39.700000000000003"/>
  </r>
  <r>
    <s v="USR-100400"/>
    <d v="2025-03-20T00:00:00"/>
    <x v="0"/>
    <s v="North"/>
    <s v="Mobile"/>
    <s v="Organic"/>
    <s v="Free"/>
    <n v="1"/>
    <n v="1"/>
    <n v="0"/>
    <n v="0"/>
    <n v="0"/>
    <n v="0"/>
    <n v="0"/>
    <m/>
    <n v="80.2"/>
  </r>
  <r>
    <s v="USR-100401"/>
    <d v="2025-02-18T00:00:00"/>
    <x v="0"/>
    <s v="West"/>
    <s v="Mobile"/>
    <s v="Paid Search"/>
    <s v="Free"/>
    <n v="1"/>
    <n v="0"/>
    <n v="0"/>
    <n v="0"/>
    <n v="0"/>
    <n v="0"/>
    <n v="0"/>
    <m/>
    <n v="72.2"/>
  </r>
  <r>
    <s v="USR-100402"/>
    <d v="2025-01-22T00:00:00"/>
    <x v="0"/>
    <s v="North"/>
    <s v="Mobile"/>
    <s v="Social"/>
    <s v="Basic"/>
    <n v="0"/>
    <n v="0"/>
    <n v="0"/>
    <n v="0"/>
    <n v="0"/>
    <n v="0"/>
    <n v="0"/>
    <m/>
    <n v="56"/>
  </r>
  <r>
    <s v="USR-100403"/>
    <d v="2025-02-08T00:00:00"/>
    <x v="0"/>
    <s v="West"/>
    <s v="Mobile"/>
    <s v="Email"/>
    <s v="Basic"/>
    <n v="1"/>
    <n v="1"/>
    <n v="1"/>
    <n v="0"/>
    <n v="0"/>
    <n v="0"/>
    <n v="0"/>
    <m/>
    <n v="69.099999999999994"/>
  </r>
  <r>
    <s v="USR-100404"/>
    <d v="2025-01-20T00:00:00"/>
    <x v="0"/>
    <s v="North"/>
    <s v="Mobile"/>
    <s v="Email"/>
    <s v="Premium"/>
    <n v="0"/>
    <n v="0"/>
    <n v="0"/>
    <n v="0"/>
    <n v="0"/>
    <n v="1"/>
    <n v="0"/>
    <m/>
    <n v="70.599999999999994"/>
  </r>
  <r>
    <s v="USR-100405"/>
    <d v="2025-04-22T00:00:00"/>
    <x v="0"/>
    <s v="West"/>
    <s v="Desktop"/>
    <s v="Referral"/>
    <s v="Free"/>
    <n v="1"/>
    <n v="0"/>
    <n v="0"/>
    <n v="0"/>
    <n v="0"/>
    <n v="0"/>
    <n v="0"/>
    <m/>
    <n v="57.9"/>
  </r>
  <r>
    <s v="USR-100406"/>
    <d v="2025-01-22T00:00:00"/>
    <x v="0"/>
    <s v="East"/>
    <s v="Mobile"/>
    <s v="Organic"/>
    <s v="Basic"/>
    <n v="1"/>
    <n v="1"/>
    <n v="0"/>
    <n v="0"/>
    <n v="0"/>
    <n v="0"/>
    <n v="0"/>
    <m/>
    <n v="41.4"/>
  </r>
  <r>
    <s v="USR-100407"/>
    <d v="2025-05-11T00:00:00"/>
    <x v="0"/>
    <s v="West"/>
    <s v="Mobile"/>
    <s v="Organic"/>
    <s v="Basic"/>
    <n v="1"/>
    <n v="0"/>
    <n v="0"/>
    <n v="0"/>
    <n v="0"/>
    <n v="0"/>
    <n v="0"/>
    <m/>
    <n v="60.9"/>
  </r>
  <r>
    <s v="USR-100408"/>
    <d v="2025-02-06T00:00:00"/>
    <x v="0"/>
    <s v="South"/>
    <s v="Mobile"/>
    <s v="Organic"/>
    <s v="Basic"/>
    <n v="0"/>
    <n v="0"/>
    <n v="0"/>
    <n v="0"/>
    <n v="0"/>
    <n v="1"/>
    <n v="0"/>
    <m/>
    <n v="63.8"/>
  </r>
  <r>
    <s v="USR-100409"/>
    <d v="2025-02-21T00:00:00"/>
    <x v="0"/>
    <s v="North"/>
    <s v="Desktop"/>
    <s v="Organic"/>
    <s v="Premium"/>
    <n v="1"/>
    <n v="0"/>
    <n v="0"/>
    <n v="0"/>
    <n v="0"/>
    <n v="0"/>
    <n v="0"/>
    <m/>
    <n v="79.2"/>
  </r>
  <r>
    <s v="USR-100410"/>
    <d v="2025-01-13T00:00:00"/>
    <x v="0"/>
    <s v="West"/>
    <s v="Mobile"/>
    <s v="Email"/>
    <s v="Premium"/>
    <n v="1"/>
    <n v="1"/>
    <n v="1"/>
    <n v="0"/>
    <n v="0"/>
    <n v="0"/>
    <n v="0"/>
    <m/>
    <n v="53.3"/>
  </r>
  <r>
    <s v="USR-100411"/>
    <d v="2025-03-07T00:00:00"/>
    <x v="0"/>
    <s v="North"/>
    <s v="Mobile"/>
    <s v="Referral"/>
    <s v="Premium"/>
    <n v="1"/>
    <n v="1"/>
    <n v="1"/>
    <n v="1"/>
    <n v="2144.8200000000002"/>
    <n v="0"/>
    <n v="0"/>
    <n v="6"/>
    <n v="52.3"/>
  </r>
  <r>
    <s v="USR-100412"/>
    <d v="2025-02-26T00:00:00"/>
    <x v="0"/>
    <s v="West"/>
    <s v="Desktop"/>
    <s v="Organic"/>
    <s v="Basic"/>
    <n v="1"/>
    <n v="1"/>
    <n v="0"/>
    <n v="0"/>
    <n v="0"/>
    <n v="0"/>
    <n v="0"/>
    <m/>
    <n v="62.4"/>
  </r>
  <r>
    <s v="USR-100413"/>
    <d v="2025-05-05T00:00:00"/>
    <x v="0"/>
    <s v="North"/>
    <s v="Mobile"/>
    <s v="Referral"/>
    <s v="Premium"/>
    <n v="1"/>
    <n v="0"/>
    <n v="0"/>
    <n v="0"/>
    <n v="0"/>
    <n v="0"/>
    <n v="0"/>
    <m/>
    <n v="45.5"/>
  </r>
  <r>
    <s v="USR-100414"/>
    <d v="2025-01-08T00:00:00"/>
    <x v="0"/>
    <s v="East"/>
    <s v="Desktop"/>
    <s v="Organic"/>
    <s v="Basic"/>
    <n v="0"/>
    <n v="0"/>
    <n v="0"/>
    <n v="0"/>
    <n v="0"/>
    <n v="1"/>
    <n v="0"/>
    <m/>
    <n v="72.599999999999994"/>
  </r>
  <r>
    <s v="USR-100415"/>
    <d v="2025-03-19T00:00:00"/>
    <x v="0"/>
    <s v="South"/>
    <s v="Mobile"/>
    <s v="Email"/>
    <s v="Premium"/>
    <n v="1"/>
    <n v="1"/>
    <n v="1"/>
    <n v="0"/>
    <n v="0"/>
    <n v="0"/>
    <n v="0"/>
    <m/>
    <n v="50.1"/>
  </r>
  <r>
    <s v="USR-100416"/>
    <d v="2025-01-30T00:00:00"/>
    <x v="0"/>
    <s v="East"/>
    <s v="Desktop"/>
    <s v="Paid Search"/>
    <s v="Free"/>
    <n v="1"/>
    <n v="1"/>
    <n v="1"/>
    <n v="0"/>
    <n v="0"/>
    <n v="2"/>
    <n v="0"/>
    <m/>
    <n v="58.1"/>
  </r>
  <r>
    <s v="USR-100417"/>
    <d v="2025-04-28T00:00:00"/>
    <x v="0"/>
    <s v="East"/>
    <s v="Mobile"/>
    <s v="Organic"/>
    <s v="Basic"/>
    <n v="1"/>
    <n v="0"/>
    <n v="0"/>
    <n v="0"/>
    <n v="0"/>
    <n v="0"/>
    <n v="0"/>
    <m/>
    <n v="42.9"/>
  </r>
  <r>
    <s v="USR-100418"/>
    <d v="2025-03-07T00:00:00"/>
    <x v="0"/>
    <s v="North"/>
    <s v="Mobile"/>
    <s v="Referral"/>
    <s v="Basic"/>
    <n v="0"/>
    <n v="0"/>
    <n v="0"/>
    <n v="0"/>
    <n v="0"/>
    <n v="0"/>
    <n v="0"/>
    <m/>
    <n v="69.7"/>
  </r>
  <r>
    <s v="USR-100419"/>
    <d v="2025-04-07T00:00:00"/>
    <x v="0"/>
    <s v="North"/>
    <s v="Desktop"/>
    <s v="Organic"/>
    <s v="Free"/>
    <n v="0"/>
    <n v="0"/>
    <n v="0"/>
    <n v="0"/>
    <n v="0"/>
    <n v="0"/>
    <n v="0"/>
    <m/>
    <n v="63.3"/>
  </r>
  <r>
    <s v="USR-100420"/>
    <d v="2025-05-08T00:00:00"/>
    <x v="0"/>
    <s v="North"/>
    <s v="Desktop"/>
    <s v="Organic"/>
    <s v="Premium"/>
    <n v="1"/>
    <n v="0"/>
    <n v="0"/>
    <n v="0"/>
    <n v="0"/>
    <n v="0"/>
    <n v="0"/>
    <m/>
    <n v="71.2"/>
  </r>
  <r>
    <s v="USR-100421"/>
    <d v="2025-04-15T00:00:00"/>
    <x v="0"/>
    <s v="South"/>
    <s v="Mobile"/>
    <s v="Email"/>
    <s v="Free"/>
    <n v="1"/>
    <n v="0"/>
    <n v="0"/>
    <n v="0"/>
    <n v="0"/>
    <n v="0"/>
    <n v="0"/>
    <m/>
    <n v="39.1"/>
  </r>
  <r>
    <s v="USR-100422"/>
    <d v="2025-04-20T00:00:00"/>
    <x v="0"/>
    <s v="East"/>
    <s v="Desktop"/>
    <s v="Social"/>
    <s v="Free"/>
    <n v="1"/>
    <n v="0"/>
    <n v="0"/>
    <n v="0"/>
    <n v="0"/>
    <n v="0"/>
    <n v="0"/>
    <m/>
    <n v="42.6"/>
  </r>
  <r>
    <s v="USR-100423"/>
    <d v="2025-05-30T00:00:00"/>
    <x v="0"/>
    <s v="South"/>
    <s v="Tablet"/>
    <s v="Organic"/>
    <s v="Free"/>
    <n v="0"/>
    <n v="0"/>
    <n v="0"/>
    <n v="0"/>
    <n v="0"/>
    <n v="0"/>
    <n v="0"/>
    <m/>
    <n v="74.400000000000006"/>
  </r>
  <r>
    <s v="USR-100424"/>
    <d v="2025-02-13T00:00:00"/>
    <x v="0"/>
    <s v="West"/>
    <s v="Mobile"/>
    <s v="Referral"/>
    <s v="Free"/>
    <n v="0"/>
    <n v="0"/>
    <n v="0"/>
    <n v="0"/>
    <n v="0"/>
    <n v="0"/>
    <n v="0"/>
    <m/>
    <n v="55.6"/>
  </r>
  <r>
    <s v="USR-100425"/>
    <d v="2025-04-28T00:00:00"/>
    <x v="0"/>
    <s v="West"/>
    <s v="Mobile"/>
    <s v="Social"/>
    <s v="Free"/>
    <n v="1"/>
    <n v="0"/>
    <n v="0"/>
    <n v="0"/>
    <n v="0"/>
    <n v="0"/>
    <n v="0"/>
    <m/>
    <n v="35.799999999999997"/>
  </r>
  <r>
    <s v="USR-100426"/>
    <d v="2025-02-12T00:00:00"/>
    <x v="0"/>
    <s v="North"/>
    <s v="Mobile"/>
    <s v="Paid Search"/>
    <s v="Basic"/>
    <n v="1"/>
    <n v="0"/>
    <n v="0"/>
    <n v="0"/>
    <n v="0"/>
    <n v="1"/>
    <n v="0"/>
    <m/>
    <n v="28.2"/>
  </r>
  <r>
    <s v="USR-100427"/>
    <d v="2025-02-12T00:00:00"/>
    <x v="0"/>
    <s v="East"/>
    <s v="Mobile"/>
    <s v="Organic"/>
    <s v="Free"/>
    <n v="0"/>
    <n v="0"/>
    <n v="0"/>
    <n v="0"/>
    <n v="0"/>
    <n v="2"/>
    <n v="0"/>
    <m/>
    <n v="44.4"/>
  </r>
  <r>
    <s v="USR-100428"/>
    <d v="2025-03-27T00:00:00"/>
    <x v="0"/>
    <s v="North"/>
    <s v="Mobile"/>
    <s v="Email"/>
    <s v="Premium"/>
    <n v="1"/>
    <n v="0"/>
    <n v="0"/>
    <n v="0"/>
    <n v="0"/>
    <n v="0"/>
    <n v="0"/>
    <m/>
    <n v="49.9"/>
  </r>
  <r>
    <s v="USR-100429"/>
    <d v="2025-04-12T00:00:00"/>
    <x v="0"/>
    <s v="South"/>
    <s v="Desktop"/>
    <s v="Organic"/>
    <s v="Free"/>
    <n v="0"/>
    <n v="0"/>
    <n v="0"/>
    <n v="0"/>
    <n v="0"/>
    <n v="0"/>
    <n v="0"/>
    <m/>
    <n v="40.4"/>
  </r>
  <r>
    <s v="USR-100430"/>
    <d v="2025-01-30T00:00:00"/>
    <x v="0"/>
    <s v="West"/>
    <s v="Mobile"/>
    <s v="Social"/>
    <s v="Free"/>
    <n v="0"/>
    <n v="0"/>
    <n v="0"/>
    <n v="0"/>
    <n v="0"/>
    <n v="0"/>
    <n v="0"/>
    <m/>
    <n v="60.4"/>
  </r>
  <r>
    <s v="USR-100431"/>
    <d v="2025-05-28T00:00:00"/>
    <x v="0"/>
    <s v="West"/>
    <s v="Mobile"/>
    <s v="Social"/>
    <s v="Premium"/>
    <n v="0"/>
    <n v="0"/>
    <n v="0"/>
    <n v="0"/>
    <n v="0"/>
    <n v="1"/>
    <n v="0"/>
    <m/>
    <n v="52.4"/>
  </r>
  <r>
    <s v="USR-100432"/>
    <d v="2025-05-01T00:00:00"/>
    <x v="0"/>
    <s v="South"/>
    <s v="Mobile"/>
    <s v="Organic"/>
    <s v="Basic"/>
    <n v="1"/>
    <n v="1"/>
    <n v="0"/>
    <n v="0"/>
    <n v="0"/>
    <n v="0"/>
    <n v="0"/>
    <m/>
    <n v="48.8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0434"/>
    <d v="2025-01-10T00:00:00"/>
    <x v="0"/>
    <s v="South"/>
    <s v="Desktop"/>
    <s v="Social"/>
    <s v="Basic"/>
    <n v="0"/>
    <n v="0"/>
    <n v="0"/>
    <n v="0"/>
    <n v="0"/>
    <n v="0"/>
    <n v="0"/>
    <m/>
    <n v="68.2"/>
  </r>
  <r>
    <s v="USR-100435"/>
    <d v="2025-05-02T00:00:00"/>
    <x v="0"/>
    <s v="North"/>
    <s v="Desktop"/>
    <s v="Organic"/>
    <s v="Basic"/>
    <n v="1"/>
    <n v="0"/>
    <n v="0"/>
    <n v="0"/>
    <n v="0"/>
    <n v="0"/>
    <n v="0"/>
    <m/>
    <n v="65.599999999999994"/>
  </r>
  <r>
    <s v="USR-100436"/>
    <d v="2025-05-26T00:00:00"/>
    <x v="0"/>
    <s v="North"/>
    <s v="Desktop"/>
    <s v="Organic"/>
    <s v="Basic"/>
    <n v="1"/>
    <n v="0"/>
    <n v="0"/>
    <n v="0"/>
    <n v="0"/>
    <n v="0"/>
    <n v="0"/>
    <m/>
    <n v="65.400000000000006"/>
  </r>
  <r>
    <s v="USR-100437"/>
    <d v="2025-01-12T00:00:00"/>
    <x v="0"/>
    <s v="West"/>
    <s v="Mobile"/>
    <s v="Organic"/>
    <s v="Basic"/>
    <n v="1"/>
    <n v="0"/>
    <n v="0"/>
    <n v="0"/>
    <n v="0"/>
    <n v="0"/>
    <n v="0"/>
    <m/>
    <n v="78.900000000000006"/>
  </r>
  <r>
    <s v="USR-100438"/>
    <d v="2025-05-27T00:00:00"/>
    <x v="0"/>
    <s v="East"/>
    <s v="Mobile"/>
    <s v="Paid Search"/>
    <s v="Basic"/>
    <n v="1"/>
    <n v="1"/>
    <n v="1"/>
    <n v="0"/>
    <n v="0"/>
    <n v="0"/>
    <n v="0"/>
    <m/>
    <n v="78.3"/>
  </r>
  <r>
    <s v="USR-100439"/>
    <d v="2025-05-22T00:00:00"/>
    <x v="0"/>
    <s v="West"/>
    <s v="Desktop"/>
    <s v="Email"/>
    <s v="Basic"/>
    <n v="0"/>
    <n v="0"/>
    <n v="0"/>
    <n v="0"/>
    <n v="0"/>
    <n v="0"/>
    <n v="0"/>
    <m/>
    <n v="49.2"/>
  </r>
  <r>
    <s v="USR-100440"/>
    <d v="2025-04-01T00:00:00"/>
    <x v="0"/>
    <s v="East"/>
    <s v="Mobile"/>
    <s v="Social"/>
    <s v="Premium"/>
    <n v="1"/>
    <n v="1"/>
    <n v="1"/>
    <n v="1"/>
    <n v="1518.83"/>
    <n v="0"/>
    <n v="0"/>
    <n v="9"/>
    <n v="32.200000000000003"/>
  </r>
  <r>
    <s v="USR-100441"/>
    <d v="2025-01-22T00:00:00"/>
    <x v="0"/>
    <s v="North"/>
    <s v="Mobile"/>
    <s v="Paid Search"/>
    <s v="Basic"/>
    <n v="1"/>
    <n v="1"/>
    <n v="1"/>
    <n v="0"/>
    <n v="0"/>
    <n v="0"/>
    <n v="0"/>
    <m/>
    <n v="46.3"/>
  </r>
  <r>
    <s v="USR-100442"/>
    <d v="2025-05-24T00:00:00"/>
    <x v="0"/>
    <s v="East"/>
    <s v="Mobile"/>
    <s v="Paid Search"/>
    <s v="Basic"/>
    <n v="1"/>
    <n v="0"/>
    <n v="0"/>
    <n v="0"/>
    <n v="0"/>
    <n v="0"/>
    <n v="0"/>
    <m/>
    <n v="55.7"/>
  </r>
  <r>
    <s v="USR-100443"/>
    <d v="2025-04-25T00:00:00"/>
    <x v="0"/>
    <s v="South"/>
    <s v="Mobile"/>
    <s v="Social"/>
    <s v="Free"/>
    <n v="1"/>
    <n v="0"/>
    <n v="0"/>
    <n v="0"/>
    <n v="0"/>
    <n v="0"/>
    <n v="0"/>
    <m/>
    <n v="44.5"/>
  </r>
  <r>
    <s v="USR-100444"/>
    <d v="2025-04-12T00:00:00"/>
    <x v="0"/>
    <s v="West"/>
    <s v="Desktop"/>
    <s v="Referral"/>
    <s v="Free"/>
    <n v="1"/>
    <n v="1"/>
    <n v="1"/>
    <n v="0"/>
    <n v="0"/>
    <n v="1"/>
    <n v="0"/>
    <m/>
    <n v="47.9"/>
  </r>
  <r>
    <s v="USR-100445"/>
    <d v="2025-04-23T00:00:00"/>
    <x v="0"/>
    <s v="South"/>
    <s v="Mobile"/>
    <s v="Organic"/>
    <s v="Premium"/>
    <n v="1"/>
    <n v="0"/>
    <n v="0"/>
    <n v="0"/>
    <n v="0"/>
    <n v="0"/>
    <n v="0"/>
    <m/>
    <n v="43.9"/>
  </r>
  <r>
    <s v="USR-100446"/>
    <d v="2025-03-30T00:00:00"/>
    <x v="0"/>
    <s v="North"/>
    <s v="Desktop"/>
    <s v="Referral"/>
    <s v="Free"/>
    <n v="1"/>
    <n v="1"/>
    <n v="1"/>
    <n v="0"/>
    <n v="0"/>
    <n v="1"/>
    <n v="0"/>
    <m/>
    <n v="67.7"/>
  </r>
  <r>
    <s v="USR-100447"/>
    <d v="2025-01-18T00:00:00"/>
    <x v="0"/>
    <s v="East"/>
    <s v="Mobile"/>
    <s v="Referral"/>
    <s v="Basic"/>
    <n v="0"/>
    <n v="0"/>
    <n v="0"/>
    <n v="0"/>
    <n v="0"/>
    <n v="0"/>
    <n v="0"/>
    <m/>
    <n v="43.7"/>
  </r>
  <r>
    <s v="USR-100448"/>
    <d v="2025-04-09T00:00:00"/>
    <x v="0"/>
    <s v="East"/>
    <s v="Mobile"/>
    <s v="Organic"/>
    <s v="Free"/>
    <n v="1"/>
    <n v="0"/>
    <n v="0"/>
    <n v="0"/>
    <n v="0"/>
    <n v="0"/>
    <n v="0"/>
    <m/>
    <n v="68.8"/>
  </r>
  <r>
    <s v="USR-100449"/>
    <d v="2025-01-11T00:00:00"/>
    <x v="0"/>
    <s v="West"/>
    <s v="Mobile"/>
    <s v="Organic"/>
    <s v="Free"/>
    <n v="1"/>
    <n v="1"/>
    <n v="1"/>
    <n v="0"/>
    <n v="0"/>
    <n v="0"/>
    <n v="0"/>
    <m/>
    <n v="59.2"/>
  </r>
  <r>
    <s v="USR-100450"/>
    <d v="2025-03-05T00:00:00"/>
    <x v="0"/>
    <s v="East"/>
    <s v="Mobile"/>
    <s v="Paid Search"/>
    <s v="Free"/>
    <n v="1"/>
    <n v="0"/>
    <n v="0"/>
    <n v="0"/>
    <n v="0"/>
    <n v="0"/>
    <n v="0"/>
    <m/>
    <n v="48.6"/>
  </r>
  <r>
    <s v="USR-100451"/>
    <d v="2025-02-17T00:00:00"/>
    <x v="0"/>
    <s v="North"/>
    <s v="Tablet"/>
    <s v="Social"/>
    <s v="Free"/>
    <n v="1"/>
    <n v="1"/>
    <n v="1"/>
    <n v="0"/>
    <n v="0"/>
    <n v="0"/>
    <n v="0"/>
    <m/>
    <n v="56.9"/>
  </r>
  <r>
    <s v="USR-100452"/>
    <d v="2025-05-07T00:00:00"/>
    <x v="0"/>
    <s v="North"/>
    <s v="Desktop"/>
    <s v="Paid Search"/>
    <s v="Free"/>
    <n v="0"/>
    <n v="0"/>
    <n v="0"/>
    <n v="0"/>
    <n v="0"/>
    <n v="0"/>
    <n v="0"/>
    <m/>
    <n v="55.8"/>
  </r>
  <r>
    <s v="USR-100453"/>
    <d v="2025-04-10T00:00:00"/>
    <x v="0"/>
    <s v="East"/>
    <s v="Mobile"/>
    <s v="Paid Search"/>
    <s v="Premium"/>
    <n v="0"/>
    <n v="0"/>
    <n v="0"/>
    <n v="0"/>
    <n v="0"/>
    <n v="0"/>
    <n v="0"/>
    <m/>
    <n v="63.3"/>
  </r>
  <r>
    <s v="USR-100454"/>
    <d v="2025-04-21T00:00:00"/>
    <x v="0"/>
    <s v="North"/>
    <s v="Mobile"/>
    <s v="Social"/>
    <s v="Free"/>
    <n v="1"/>
    <n v="0"/>
    <n v="0"/>
    <n v="0"/>
    <n v="0"/>
    <n v="0"/>
    <n v="0"/>
    <m/>
    <n v="52.2"/>
  </r>
  <r>
    <s v="USR-100455"/>
    <d v="2025-02-25T00:00:00"/>
    <x v="0"/>
    <s v="South"/>
    <s v="Tablet"/>
    <m/>
    <s v="Free"/>
    <n v="0"/>
    <n v="0"/>
    <n v="0"/>
    <n v="0"/>
    <n v="0"/>
    <n v="0"/>
    <n v="0"/>
    <m/>
    <n v="51.5"/>
  </r>
  <r>
    <s v="USR-100456"/>
    <d v="2025-05-14T00:00:00"/>
    <x v="0"/>
    <s v="East"/>
    <s v="Desktop"/>
    <s v="Organic"/>
    <s v="Free"/>
    <n v="0"/>
    <n v="0"/>
    <n v="0"/>
    <n v="0"/>
    <n v="0"/>
    <n v="0"/>
    <n v="0"/>
    <m/>
    <n v="50.3"/>
  </r>
  <r>
    <s v="USR-100457"/>
    <d v="2025-03-10T00:00:00"/>
    <x v="0"/>
    <s v="North"/>
    <s v="Mobile"/>
    <s v="Email"/>
    <s v="Basic"/>
    <n v="1"/>
    <n v="0"/>
    <n v="0"/>
    <n v="0"/>
    <n v="0"/>
    <n v="1"/>
    <n v="0"/>
    <m/>
    <n v="35.4"/>
  </r>
  <r>
    <s v="USR-100458"/>
    <d v="2025-01-31T00:00:00"/>
    <x v="0"/>
    <s v="West"/>
    <s v="Desktop"/>
    <s v="Organic"/>
    <s v="Premium"/>
    <n v="1"/>
    <n v="0"/>
    <n v="0"/>
    <n v="0"/>
    <n v="0"/>
    <n v="1"/>
    <n v="0"/>
    <m/>
    <n v="54.1"/>
  </r>
  <r>
    <s v="USR-100459"/>
    <d v="2025-01-17T00:00:00"/>
    <x v="0"/>
    <s v="South"/>
    <s v="Mobile"/>
    <s v="Organic"/>
    <s v="Premium"/>
    <n v="1"/>
    <n v="0"/>
    <n v="0"/>
    <n v="0"/>
    <n v="0"/>
    <n v="0"/>
    <n v="0"/>
    <m/>
    <n v="56.2"/>
  </r>
  <r>
    <s v="USR-100460"/>
    <d v="2025-03-12T00:00:00"/>
    <x v="0"/>
    <s v="South"/>
    <s v="Mobile"/>
    <s v="Paid Search"/>
    <s v="Free"/>
    <n v="0"/>
    <n v="0"/>
    <n v="0"/>
    <n v="0"/>
    <n v="0"/>
    <n v="3"/>
    <n v="0"/>
    <m/>
    <n v="43.7"/>
  </r>
  <r>
    <s v="USR-100461"/>
    <d v="2025-02-28T00:00:00"/>
    <x v="0"/>
    <s v="West"/>
    <s v="Desktop"/>
    <s v="Organic"/>
    <s v="Premium"/>
    <n v="1"/>
    <n v="1"/>
    <n v="0"/>
    <n v="0"/>
    <n v="0"/>
    <n v="0"/>
    <n v="0"/>
    <m/>
    <n v="51.3"/>
  </r>
  <r>
    <s v="USR-100462"/>
    <d v="2025-05-19T00:00:00"/>
    <x v="0"/>
    <s v="North"/>
    <m/>
    <s v="Organic"/>
    <s v="Basic"/>
    <n v="1"/>
    <n v="0"/>
    <n v="0"/>
    <n v="0"/>
    <n v="0"/>
    <n v="0"/>
    <n v="0"/>
    <m/>
    <n v="50.5"/>
  </r>
  <r>
    <s v="USR-100463"/>
    <d v="2025-02-23T00:00:00"/>
    <x v="0"/>
    <s v="North"/>
    <s v="Mobile"/>
    <s v="Referral"/>
    <s v="Basic"/>
    <n v="1"/>
    <n v="0"/>
    <n v="0"/>
    <n v="0"/>
    <n v="0"/>
    <n v="0"/>
    <n v="0"/>
    <m/>
    <n v="57.3"/>
  </r>
  <r>
    <s v="USR-100464"/>
    <d v="2025-02-20T00:00:00"/>
    <x v="0"/>
    <s v="West"/>
    <s v="Desktop"/>
    <s v="Organic"/>
    <s v="Free"/>
    <n v="1"/>
    <n v="1"/>
    <n v="1"/>
    <n v="0"/>
    <n v="0"/>
    <n v="0"/>
    <n v="0"/>
    <m/>
    <n v="58.4"/>
  </r>
  <r>
    <s v="USR-100465"/>
    <d v="2025-04-12T00:00:00"/>
    <x v="0"/>
    <s v="North"/>
    <s v="Mobile"/>
    <m/>
    <s v="Free"/>
    <n v="0"/>
    <n v="0"/>
    <n v="0"/>
    <n v="0"/>
    <n v="0"/>
    <n v="0"/>
    <n v="0"/>
    <m/>
    <n v="56.5"/>
  </r>
  <r>
    <s v="USR-100466"/>
    <d v="2025-01-08T00:00:00"/>
    <x v="0"/>
    <s v="West"/>
    <s v="Mobile"/>
    <s v="Email"/>
    <s v="Free"/>
    <n v="0"/>
    <n v="0"/>
    <n v="0"/>
    <n v="0"/>
    <n v="0"/>
    <n v="0"/>
    <n v="0"/>
    <m/>
    <n v="69.599999999999994"/>
  </r>
  <r>
    <s v="USR-100467"/>
    <d v="2025-02-13T00:00:00"/>
    <x v="0"/>
    <s v="West"/>
    <s v="Mobile"/>
    <s v="Organic"/>
    <s v="Basic"/>
    <n v="0"/>
    <n v="0"/>
    <n v="0"/>
    <n v="0"/>
    <n v="0"/>
    <n v="0"/>
    <n v="0"/>
    <m/>
    <n v="6.2"/>
  </r>
  <r>
    <s v="USR-100468"/>
    <d v="2025-05-21T00:00:00"/>
    <x v="0"/>
    <s v="East"/>
    <s v="Desktop"/>
    <s v="Email"/>
    <s v="Free"/>
    <n v="1"/>
    <n v="1"/>
    <n v="1"/>
    <n v="0"/>
    <n v="0"/>
    <n v="0"/>
    <n v="0"/>
    <m/>
    <n v="54.3"/>
  </r>
  <r>
    <s v="USR-100469"/>
    <d v="2025-05-30T00:00:00"/>
    <x v="0"/>
    <s v="North"/>
    <s v="Mobile"/>
    <s v="Organic"/>
    <s v="Basic"/>
    <n v="0"/>
    <n v="0"/>
    <n v="0"/>
    <n v="0"/>
    <n v="0"/>
    <n v="0"/>
    <n v="0"/>
    <m/>
    <n v="59.8"/>
  </r>
  <r>
    <s v="USR-100470"/>
    <d v="2025-05-20T00:00:00"/>
    <x v="0"/>
    <s v="West"/>
    <s v="Mobile"/>
    <s v="Paid Search"/>
    <s v="Free"/>
    <n v="0"/>
    <n v="0"/>
    <n v="0"/>
    <n v="0"/>
    <n v="0"/>
    <n v="0"/>
    <n v="0"/>
    <m/>
    <n v="58.9"/>
  </r>
  <r>
    <s v="USR-100471"/>
    <d v="2025-01-09T00:00:00"/>
    <x v="0"/>
    <s v="East"/>
    <s v="Desktop"/>
    <s v="Organic"/>
    <s v="Free"/>
    <n v="0"/>
    <n v="0"/>
    <n v="0"/>
    <n v="0"/>
    <n v="0"/>
    <n v="1"/>
    <n v="0"/>
    <m/>
    <n v="52.9"/>
  </r>
  <r>
    <s v="USR-100472"/>
    <d v="2025-03-07T00:00:00"/>
    <x v="0"/>
    <s v="West"/>
    <s v="Mobile"/>
    <s v="Organic"/>
    <s v="Free"/>
    <n v="0"/>
    <n v="0"/>
    <n v="0"/>
    <n v="0"/>
    <n v="0"/>
    <n v="0"/>
    <n v="0"/>
    <m/>
    <n v="67.8"/>
  </r>
  <r>
    <s v="USR-100473"/>
    <d v="2025-04-23T00:00:00"/>
    <x v="0"/>
    <s v="South"/>
    <s v="Mobile"/>
    <s v="Social"/>
    <s v="Free"/>
    <n v="0"/>
    <n v="0"/>
    <n v="0"/>
    <n v="0"/>
    <n v="0"/>
    <n v="0"/>
    <n v="0"/>
    <m/>
    <n v="48.7"/>
  </r>
  <r>
    <s v="USR-100474"/>
    <d v="2025-03-08T00:00:00"/>
    <x v="0"/>
    <s v="East"/>
    <s v="Mobile"/>
    <s v="Organic"/>
    <s v="Basic"/>
    <n v="0"/>
    <n v="0"/>
    <n v="0"/>
    <n v="0"/>
    <n v="0"/>
    <n v="0"/>
    <n v="0"/>
    <m/>
    <n v="59"/>
  </r>
  <r>
    <s v="USR-100475"/>
    <d v="2025-02-14T00:00:00"/>
    <x v="0"/>
    <s v="South"/>
    <s v="Mobile"/>
    <s v="Referral"/>
    <s v="Free"/>
    <n v="0"/>
    <n v="0"/>
    <n v="0"/>
    <n v="0"/>
    <n v="0"/>
    <n v="0"/>
    <n v="0"/>
    <m/>
    <n v="63.2"/>
  </r>
  <r>
    <s v="USR-100476"/>
    <d v="2025-05-17T00:00:00"/>
    <x v="0"/>
    <s v="West"/>
    <s v="Mobile"/>
    <s v="Referral"/>
    <s v="Basic"/>
    <n v="1"/>
    <n v="0"/>
    <n v="0"/>
    <n v="0"/>
    <n v="0"/>
    <n v="0"/>
    <n v="0"/>
    <m/>
    <n v="68.7"/>
  </r>
  <r>
    <s v="USR-100477"/>
    <d v="2025-04-25T00:00:00"/>
    <x v="0"/>
    <s v="South"/>
    <s v="Mobile"/>
    <s v="Referral"/>
    <s v="Free"/>
    <n v="0"/>
    <n v="0"/>
    <n v="0"/>
    <n v="0"/>
    <n v="0"/>
    <n v="0"/>
    <n v="0"/>
    <m/>
    <n v="52.1"/>
  </r>
  <r>
    <s v="USR-100478"/>
    <d v="2025-03-04T00:00:00"/>
    <x v="0"/>
    <s v="South"/>
    <s v="Desktop"/>
    <s v="Social"/>
    <s v="Basic"/>
    <n v="0"/>
    <n v="0"/>
    <n v="0"/>
    <n v="0"/>
    <n v="0"/>
    <n v="0"/>
    <n v="0"/>
    <m/>
    <n v="56.5"/>
  </r>
  <r>
    <s v="USR-100479"/>
    <d v="2025-03-18T00:00:00"/>
    <x v="0"/>
    <s v="South"/>
    <s v="Mobile"/>
    <s v="Organic"/>
    <s v="Free"/>
    <n v="1"/>
    <n v="0"/>
    <n v="0"/>
    <n v="0"/>
    <n v="0"/>
    <n v="0"/>
    <n v="0"/>
    <m/>
    <n v="64.400000000000006"/>
  </r>
  <r>
    <s v="USR-100480"/>
    <d v="2025-01-30T00:00:00"/>
    <x v="0"/>
    <s v="West"/>
    <s v="Mobile"/>
    <s v="Paid Search"/>
    <s v="Premium"/>
    <n v="1"/>
    <n v="0"/>
    <n v="0"/>
    <n v="0"/>
    <n v="0"/>
    <n v="0"/>
    <n v="0"/>
    <m/>
    <n v="65.900000000000006"/>
  </r>
  <r>
    <s v="USR-100481"/>
    <d v="2025-05-20T00:00:00"/>
    <x v="0"/>
    <s v="West"/>
    <s v="Tablet"/>
    <s v="Referral"/>
    <s v="Free"/>
    <n v="1"/>
    <n v="1"/>
    <n v="1"/>
    <n v="0"/>
    <n v="0"/>
    <n v="0"/>
    <n v="0"/>
    <m/>
    <n v="100"/>
  </r>
  <r>
    <s v="USR-100482"/>
    <d v="2025-02-13T00:00:00"/>
    <x v="0"/>
    <s v="North"/>
    <m/>
    <s v="Organic"/>
    <s v="Basic"/>
    <n v="1"/>
    <n v="1"/>
    <n v="1"/>
    <n v="0"/>
    <n v="0"/>
    <n v="0"/>
    <n v="0"/>
    <m/>
    <n v="50.4"/>
  </r>
  <r>
    <s v="USR-100483"/>
    <d v="2025-04-12T00:00:00"/>
    <x v="0"/>
    <s v="West"/>
    <s v="Desktop"/>
    <s v="Organic"/>
    <s v="Basic"/>
    <n v="0"/>
    <n v="0"/>
    <n v="0"/>
    <n v="0"/>
    <n v="0"/>
    <n v="0"/>
    <n v="0"/>
    <m/>
    <n v="41.5"/>
  </r>
  <r>
    <s v="USR-100484"/>
    <d v="2025-04-07T00:00:00"/>
    <x v="0"/>
    <s v="North"/>
    <s v="Mobile"/>
    <s v="Email"/>
    <s v="Free"/>
    <n v="0"/>
    <n v="0"/>
    <n v="0"/>
    <n v="0"/>
    <n v="0"/>
    <n v="0"/>
    <n v="0"/>
    <m/>
    <n v="86.2"/>
  </r>
  <r>
    <s v="USR-100485"/>
    <d v="2025-03-12T00:00:00"/>
    <x v="0"/>
    <s v="North"/>
    <s v="Desktop"/>
    <s v="Social"/>
    <s v="Free"/>
    <n v="1"/>
    <n v="1"/>
    <n v="1"/>
    <n v="0"/>
    <n v="0"/>
    <n v="2"/>
    <n v="0"/>
    <m/>
    <n v="50.8"/>
  </r>
  <r>
    <s v="USR-100486"/>
    <d v="2025-02-07T00:00:00"/>
    <x v="0"/>
    <s v="West"/>
    <s v="Mobile"/>
    <s v="Organic"/>
    <s v="Free"/>
    <n v="1"/>
    <n v="0"/>
    <n v="0"/>
    <n v="0"/>
    <n v="0"/>
    <n v="0"/>
    <n v="0"/>
    <m/>
    <n v="50.9"/>
  </r>
  <r>
    <s v="USR-100487"/>
    <d v="2025-05-05T00:00:00"/>
    <x v="0"/>
    <s v="North"/>
    <s v="Mobile"/>
    <s v="Organic"/>
    <s v="Premium"/>
    <n v="1"/>
    <n v="1"/>
    <n v="0"/>
    <n v="0"/>
    <n v="0"/>
    <n v="0"/>
    <n v="0"/>
    <m/>
    <n v="87.5"/>
  </r>
  <r>
    <s v="USR-100488"/>
    <d v="2025-03-18T00:00:00"/>
    <x v="0"/>
    <s v="South"/>
    <s v="Mobile"/>
    <s v="Referral"/>
    <s v="Free"/>
    <n v="0"/>
    <n v="0"/>
    <n v="0"/>
    <n v="0"/>
    <n v="0"/>
    <n v="0"/>
    <n v="0"/>
    <m/>
    <n v="43.6"/>
  </r>
  <r>
    <s v="USR-100489"/>
    <d v="2025-01-05T00:00:00"/>
    <x v="0"/>
    <s v="South"/>
    <s v="Mobile"/>
    <s v="Paid Search"/>
    <s v="Basic"/>
    <n v="1"/>
    <n v="0"/>
    <n v="0"/>
    <n v="0"/>
    <n v="0"/>
    <n v="0"/>
    <n v="0"/>
    <m/>
    <n v="55.5"/>
  </r>
  <r>
    <s v="USR-100490"/>
    <d v="2025-05-10T00:00:00"/>
    <x v="0"/>
    <s v="South"/>
    <s v="Desktop"/>
    <s v="Referral"/>
    <s v="Basic"/>
    <n v="0"/>
    <n v="0"/>
    <n v="0"/>
    <n v="0"/>
    <n v="0"/>
    <n v="0"/>
    <n v="0"/>
    <m/>
    <n v="78.599999999999994"/>
  </r>
  <r>
    <s v="USR-100491"/>
    <d v="2025-01-03T00:00:00"/>
    <x v="0"/>
    <s v="South"/>
    <s v="Mobile"/>
    <s v="Social"/>
    <s v="Basic"/>
    <n v="1"/>
    <n v="1"/>
    <n v="0"/>
    <n v="0"/>
    <n v="0"/>
    <n v="1"/>
    <n v="0"/>
    <m/>
    <n v="44.3"/>
  </r>
  <r>
    <s v="USR-100492"/>
    <d v="2025-05-08T00:00:00"/>
    <x v="0"/>
    <s v="South"/>
    <s v="Mobile"/>
    <s v="Paid Search"/>
    <s v="Free"/>
    <n v="1"/>
    <n v="1"/>
    <n v="0"/>
    <n v="0"/>
    <n v="0"/>
    <n v="0"/>
    <n v="0"/>
    <m/>
    <n v="45.2"/>
  </r>
  <r>
    <s v="USR-100493"/>
    <d v="2025-03-05T00:00:00"/>
    <x v="0"/>
    <s v="South"/>
    <s v="Desktop"/>
    <s v="Email"/>
    <s v="Basic"/>
    <n v="1"/>
    <n v="0"/>
    <n v="0"/>
    <n v="0"/>
    <n v="0"/>
    <n v="2"/>
    <n v="0"/>
    <m/>
    <n v="46.1"/>
  </r>
  <r>
    <s v="USR-100494"/>
    <d v="2025-02-17T00:00:00"/>
    <x v="0"/>
    <s v="North"/>
    <s v="Mobile"/>
    <s v="Organic"/>
    <s v="Premium"/>
    <n v="1"/>
    <n v="0"/>
    <n v="0"/>
    <n v="0"/>
    <n v="0"/>
    <n v="0"/>
    <n v="0"/>
    <m/>
    <n v="49.6"/>
  </r>
  <r>
    <s v="USR-100495"/>
    <d v="2025-01-09T00:00:00"/>
    <x v="0"/>
    <s v="South"/>
    <s v="Mobile"/>
    <s v="Referral"/>
    <s v="Basic"/>
    <n v="0"/>
    <n v="0"/>
    <n v="0"/>
    <n v="0"/>
    <n v="0"/>
    <n v="0"/>
    <n v="0"/>
    <m/>
    <n v="70.5"/>
  </r>
  <r>
    <s v="USR-100496"/>
    <d v="2025-05-05T00:00:00"/>
    <x v="0"/>
    <s v="South"/>
    <s v="Mobile"/>
    <s v="Email"/>
    <s v="Basic"/>
    <n v="0"/>
    <n v="0"/>
    <n v="0"/>
    <n v="0"/>
    <n v="0"/>
    <n v="1"/>
    <n v="0"/>
    <m/>
    <n v="60.8"/>
  </r>
  <r>
    <s v="USR-100497"/>
    <d v="2025-04-16T00:00:00"/>
    <x v="0"/>
    <s v="East"/>
    <s v="Mobile"/>
    <s v="Email"/>
    <s v="Basic"/>
    <n v="0"/>
    <n v="0"/>
    <n v="0"/>
    <n v="0"/>
    <n v="0"/>
    <n v="1"/>
    <n v="0"/>
    <m/>
    <n v="50.5"/>
  </r>
  <r>
    <s v="USR-100498"/>
    <d v="2025-03-02T00:00:00"/>
    <x v="0"/>
    <s v="South"/>
    <s v="Desktop"/>
    <s v="Organic"/>
    <s v="Free"/>
    <n v="1"/>
    <n v="0"/>
    <n v="0"/>
    <n v="0"/>
    <n v="0"/>
    <n v="0"/>
    <n v="0"/>
    <m/>
    <n v="54.9"/>
  </r>
  <r>
    <s v="USR-100499"/>
    <d v="2025-04-14T00:00:00"/>
    <x v="0"/>
    <s v="South"/>
    <s v="Mobile"/>
    <s v="Social"/>
    <s v="Premium"/>
    <n v="0"/>
    <n v="0"/>
    <n v="0"/>
    <n v="0"/>
    <n v="0"/>
    <n v="0"/>
    <n v="0"/>
    <m/>
    <n v="29.9"/>
  </r>
  <r>
    <s v="USR-100500"/>
    <d v="2025-02-15T00:00:00"/>
    <x v="0"/>
    <s v="East"/>
    <s v="Desktop"/>
    <s v="Paid Search"/>
    <s v="Basic"/>
    <n v="0"/>
    <n v="0"/>
    <n v="0"/>
    <n v="0"/>
    <n v="0"/>
    <n v="0"/>
    <n v="0"/>
    <m/>
    <n v="48.3"/>
  </r>
  <r>
    <s v="USR-100501"/>
    <d v="2025-02-13T00:00:00"/>
    <x v="0"/>
    <s v="West"/>
    <s v="Mobile"/>
    <s v="Social"/>
    <s v="Free"/>
    <n v="1"/>
    <n v="1"/>
    <n v="1"/>
    <n v="1"/>
    <n v="513.61"/>
    <n v="0"/>
    <n v="0"/>
    <n v="7"/>
    <n v="41.3"/>
  </r>
  <r>
    <s v="USR-100502"/>
    <d v="2025-03-06T00:00:00"/>
    <x v="0"/>
    <s v="North"/>
    <s v="Mobile"/>
    <s v="Email"/>
    <s v="Free"/>
    <n v="0"/>
    <n v="0"/>
    <n v="0"/>
    <n v="0"/>
    <n v="0"/>
    <n v="0"/>
    <n v="0"/>
    <m/>
    <n v="61.4"/>
  </r>
  <r>
    <s v="USR-100503"/>
    <d v="2025-02-18T00:00:00"/>
    <x v="0"/>
    <s v="South"/>
    <s v="Desktop"/>
    <s v="Social"/>
    <s v="Free"/>
    <n v="0"/>
    <n v="0"/>
    <n v="0"/>
    <n v="0"/>
    <n v="0"/>
    <n v="0"/>
    <n v="0"/>
    <m/>
    <n v="57.8"/>
  </r>
  <r>
    <s v="USR-100504"/>
    <d v="2025-04-07T00:00:00"/>
    <x v="0"/>
    <s v="North"/>
    <s v="Desktop"/>
    <s v="Organic"/>
    <s v="Free"/>
    <n v="0"/>
    <n v="0"/>
    <n v="0"/>
    <n v="0"/>
    <n v="0"/>
    <n v="0"/>
    <n v="0"/>
    <m/>
    <n v="78.2"/>
  </r>
  <r>
    <s v="USR-100505"/>
    <d v="2025-04-06T00:00:00"/>
    <x v="0"/>
    <s v="North"/>
    <s v="Mobile"/>
    <s v="Referral"/>
    <s v="Free"/>
    <n v="0"/>
    <n v="0"/>
    <n v="0"/>
    <n v="0"/>
    <n v="0"/>
    <n v="0"/>
    <n v="0"/>
    <m/>
    <n v="63.8"/>
  </r>
  <r>
    <s v="USR-100506"/>
    <d v="2025-01-30T00:00:00"/>
    <x v="0"/>
    <s v="North"/>
    <s v="Desktop"/>
    <s v="Social"/>
    <s v="Free"/>
    <n v="1"/>
    <n v="0"/>
    <n v="0"/>
    <n v="0"/>
    <n v="0"/>
    <n v="0"/>
    <n v="0"/>
    <m/>
    <n v="56.8"/>
  </r>
  <r>
    <s v="USR-100507"/>
    <d v="2025-05-13T00:00:00"/>
    <x v="0"/>
    <s v="South"/>
    <s v="Desktop"/>
    <s v="Organic"/>
    <s v="Basic"/>
    <n v="1"/>
    <n v="1"/>
    <n v="0"/>
    <n v="0"/>
    <n v="0"/>
    <n v="0"/>
    <n v="0"/>
    <m/>
    <n v="59.6"/>
  </r>
  <r>
    <s v="USR-100508"/>
    <d v="2025-01-20T00:00:00"/>
    <x v="0"/>
    <s v="West"/>
    <s v="Mobile"/>
    <s v="Paid Search"/>
    <s v="Premium"/>
    <n v="1"/>
    <n v="1"/>
    <n v="0"/>
    <n v="0"/>
    <n v="0"/>
    <n v="0"/>
    <n v="0"/>
    <m/>
    <n v="50"/>
  </r>
  <r>
    <s v="USR-100509"/>
    <d v="2025-01-30T00:00:00"/>
    <x v="0"/>
    <s v="North"/>
    <s v="Tablet"/>
    <s v="Organic"/>
    <s v="Free"/>
    <n v="1"/>
    <n v="0"/>
    <n v="0"/>
    <n v="0"/>
    <n v="0"/>
    <n v="0"/>
    <n v="0"/>
    <m/>
    <n v="35.700000000000003"/>
  </r>
  <r>
    <s v="USR-100510"/>
    <d v="2025-01-13T00:00:00"/>
    <x v="0"/>
    <s v="South"/>
    <s v="Mobile"/>
    <s v="Organic"/>
    <s v="Free"/>
    <n v="0"/>
    <n v="0"/>
    <n v="0"/>
    <n v="0"/>
    <n v="0"/>
    <n v="2"/>
    <n v="0"/>
    <m/>
    <n v="47.2"/>
  </r>
  <r>
    <s v="USR-100511"/>
    <d v="2025-02-11T00:00:00"/>
    <x v="0"/>
    <s v="North"/>
    <s v="Mobile"/>
    <s v="Social"/>
    <s v="Free"/>
    <n v="1"/>
    <n v="1"/>
    <n v="0"/>
    <n v="0"/>
    <n v="0"/>
    <n v="0"/>
    <n v="0"/>
    <m/>
    <n v="56.9"/>
  </r>
  <r>
    <s v="USR-100512"/>
    <d v="2025-04-15T00:00:00"/>
    <x v="0"/>
    <s v="South"/>
    <s v="Mobile"/>
    <s v="Organic"/>
    <s v="Free"/>
    <n v="0"/>
    <n v="0"/>
    <n v="0"/>
    <n v="0"/>
    <n v="0"/>
    <n v="1"/>
    <n v="0"/>
    <m/>
    <n v="57.2"/>
  </r>
  <r>
    <s v="USR-100513"/>
    <d v="2025-02-13T00:00:00"/>
    <x v="0"/>
    <s v="South"/>
    <s v="Mobile"/>
    <m/>
    <s v="Free"/>
    <n v="1"/>
    <n v="1"/>
    <n v="0"/>
    <n v="0"/>
    <n v="0"/>
    <n v="0"/>
    <n v="0"/>
    <m/>
    <n v="31.4"/>
  </r>
  <r>
    <s v="USR-100514"/>
    <d v="2025-05-09T00:00:00"/>
    <x v="0"/>
    <s v="South"/>
    <s v="Desktop"/>
    <s v="Organic"/>
    <s v="Free"/>
    <n v="0"/>
    <n v="0"/>
    <n v="0"/>
    <n v="0"/>
    <n v="0"/>
    <n v="0"/>
    <n v="0"/>
    <m/>
    <n v="71.2"/>
  </r>
  <r>
    <s v="USR-100515"/>
    <d v="2025-03-10T00:00:00"/>
    <x v="0"/>
    <s v="North"/>
    <s v="Mobile"/>
    <s v="Paid Search"/>
    <s v="Free"/>
    <n v="1"/>
    <n v="1"/>
    <n v="1"/>
    <n v="0"/>
    <n v="0"/>
    <n v="1"/>
    <n v="0"/>
    <m/>
    <n v="38.299999999999997"/>
  </r>
  <r>
    <s v="USR-100516"/>
    <d v="2025-04-01T00:00:00"/>
    <x v="0"/>
    <s v="North"/>
    <s v="Mobile"/>
    <s v="Organic"/>
    <s v="Free"/>
    <n v="1"/>
    <n v="1"/>
    <n v="0"/>
    <n v="0"/>
    <n v="0"/>
    <n v="0"/>
    <n v="0"/>
    <m/>
    <n v="63.1"/>
  </r>
  <r>
    <s v="USR-100517"/>
    <d v="2025-05-15T00:00:00"/>
    <x v="0"/>
    <s v="East"/>
    <s v="Mobile"/>
    <s v="Referral"/>
    <s v="Basic"/>
    <n v="1"/>
    <n v="0"/>
    <n v="0"/>
    <n v="0"/>
    <n v="0"/>
    <n v="0"/>
    <n v="0"/>
    <m/>
    <n v="59.7"/>
  </r>
  <r>
    <s v="USR-100518"/>
    <d v="2025-05-04T00:00:00"/>
    <x v="0"/>
    <s v="South"/>
    <s v="Desktop"/>
    <s v="Social"/>
    <s v="Premium"/>
    <n v="1"/>
    <n v="1"/>
    <n v="1"/>
    <n v="0"/>
    <n v="0"/>
    <n v="0"/>
    <n v="0"/>
    <m/>
    <n v="59.5"/>
  </r>
  <r>
    <s v="USR-100519"/>
    <d v="2025-05-20T00:00:00"/>
    <x v="0"/>
    <s v="East"/>
    <s v="Mobile"/>
    <s v="Paid Search"/>
    <s v="Free"/>
    <n v="0"/>
    <n v="0"/>
    <n v="0"/>
    <n v="0"/>
    <n v="0"/>
    <n v="0"/>
    <n v="0"/>
    <m/>
    <n v="78.8"/>
  </r>
  <r>
    <s v="USR-100520"/>
    <d v="2025-05-16T00:00:00"/>
    <x v="0"/>
    <s v="West"/>
    <s v="Desktop"/>
    <s v="Referral"/>
    <s v="Free"/>
    <n v="0"/>
    <n v="0"/>
    <n v="0"/>
    <n v="0"/>
    <n v="0"/>
    <n v="0"/>
    <n v="0"/>
    <m/>
    <n v="54"/>
  </r>
  <r>
    <s v="USR-100521"/>
    <d v="2025-03-17T00:00:00"/>
    <x v="0"/>
    <s v="West"/>
    <s v="Mobile"/>
    <s v="Organic"/>
    <s v="Free"/>
    <n v="1"/>
    <n v="0"/>
    <n v="0"/>
    <n v="0"/>
    <n v="0"/>
    <n v="0"/>
    <n v="0"/>
    <m/>
    <n v="66.3"/>
  </r>
  <r>
    <s v="USR-100522"/>
    <d v="2025-01-27T00:00:00"/>
    <x v="0"/>
    <s v="East"/>
    <s v="Tablet"/>
    <s v="Paid Search"/>
    <s v="Free"/>
    <n v="1"/>
    <n v="1"/>
    <n v="0"/>
    <n v="0"/>
    <n v="0"/>
    <n v="0"/>
    <n v="0"/>
    <m/>
    <n v="54.7"/>
  </r>
  <r>
    <s v="USR-100523"/>
    <d v="2025-04-13T00:00:00"/>
    <x v="0"/>
    <s v="South"/>
    <s v="Mobile"/>
    <s v="Organic"/>
    <s v="Basic"/>
    <n v="1"/>
    <n v="0"/>
    <n v="0"/>
    <n v="0"/>
    <n v="0"/>
    <n v="0"/>
    <n v="0"/>
    <m/>
    <n v="76.7"/>
  </r>
  <r>
    <s v="USR-100524"/>
    <d v="2025-05-03T00:00:00"/>
    <x v="0"/>
    <s v="South"/>
    <s v="Desktop"/>
    <s v="Email"/>
    <s v="Basic"/>
    <n v="1"/>
    <n v="0"/>
    <n v="0"/>
    <n v="0"/>
    <n v="0"/>
    <n v="2"/>
    <n v="0"/>
    <m/>
    <n v="47.4"/>
  </r>
  <r>
    <s v="USR-100525"/>
    <d v="2025-03-30T00:00:00"/>
    <x v="0"/>
    <s v="North"/>
    <s v="Mobile"/>
    <s v="Organic"/>
    <s v="Free"/>
    <n v="1"/>
    <n v="1"/>
    <n v="1"/>
    <n v="0"/>
    <n v="0"/>
    <n v="0"/>
    <n v="0"/>
    <m/>
    <n v="81.7"/>
  </r>
  <r>
    <s v="USR-100526"/>
    <d v="2025-01-01T00:00:00"/>
    <x v="0"/>
    <s v="West"/>
    <s v="Mobile"/>
    <s v="Paid Search"/>
    <s v="Basic"/>
    <n v="1"/>
    <n v="1"/>
    <n v="1"/>
    <n v="0"/>
    <n v="0"/>
    <n v="0"/>
    <n v="0"/>
    <m/>
    <n v="67.5"/>
  </r>
  <r>
    <s v="USR-100527"/>
    <d v="2025-02-06T00:00:00"/>
    <x v="0"/>
    <s v="West"/>
    <s v="Mobile"/>
    <s v="Paid Search"/>
    <s v="Basic"/>
    <n v="1"/>
    <n v="0"/>
    <n v="0"/>
    <n v="0"/>
    <n v="0"/>
    <n v="0"/>
    <n v="0"/>
    <m/>
    <n v="36.799999999999997"/>
  </r>
  <r>
    <s v="USR-100528"/>
    <d v="2025-02-25T00:00:00"/>
    <x v="0"/>
    <s v="North"/>
    <s v="Desktop"/>
    <s v="Organic"/>
    <s v="Free"/>
    <n v="0"/>
    <n v="0"/>
    <n v="0"/>
    <n v="0"/>
    <n v="0"/>
    <n v="0"/>
    <n v="0"/>
    <m/>
    <n v="66.5"/>
  </r>
  <r>
    <s v="USR-100529"/>
    <d v="2025-05-14T00:00:00"/>
    <x v="0"/>
    <s v="East"/>
    <s v="Tablet"/>
    <s v="Social"/>
    <s v="Free"/>
    <n v="1"/>
    <n v="0"/>
    <n v="0"/>
    <n v="0"/>
    <n v="0"/>
    <n v="0"/>
    <n v="0"/>
    <m/>
    <n v="35.4"/>
  </r>
  <r>
    <s v="USR-100530"/>
    <d v="2025-05-20T00:00:00"/>
    <x v="0"/>
    <s v="South"/>
    <s v="Mobile"/>
    <s v="Organic"/>
    <s v="Basic"/>
    <n v="0"/>
    <n v="0"/>
    <n v="0"/>
    <n v="0"/>
    <n v="0"/>
    <n v="0"/>
    <n v="0"/>
    <m/>
    <n v="64.3"/>
  </r>
  <r>
    <s v="USR-100531"/>
    <d v="2025-02-11T00:00:00"/>
    <x v="0"/>
    <s v="South"/>
    <s v="Mobile"/>
    <s v="Organic"/>
    <s v="Free"/>
    <n v="0"/>
    <n v="0"/>
    <n v="0"/>
    <n v="0"/>
    <n v="0"/>
    <n v="0"/>
    <n v="0"/>
    <m/>
    <n v="49.1"/>
  </r>
  <r>
    <s v="USR-100532"/>
    <d v="2025-02-13T00:00:00"/>
    <x v="0"/>
    <s v="West"/>
    <s v="Mobile"/>
    <s v="Organic"/>
    <s v="Free"/>
    <n v="1"/>
    <n v="0"/>
    <n v="0"/>
    <n v="0"/>
    <n v="0"/>
    <n v="0"/>
    <n v="0"/>
    <m/>
    <n v="84.3"/>
  </r>
  <r>
    <s v="USR-100533"/>
    <d v="2025-04-07T00:00:00"/>
    <x v="0"/>
    <s v="South"/>
    <s v="Mobile"/>
    <s v="Paid Search"/>
    <s v="Premium"/>
    <n v="1"/>
    <n v="0"/>
    <n v="0"/>
    <n v="0"/>
    <n v="0"/>
    <n v="0"/>
    <n v="0"/>
    <m/>
    <n v="65.599999999999994"/>
  </r>
  <r>
    <s v="USR-100534"/>
    <d v="2025-03-08T00:00:00"/>
    <x v="0"/>
    <s v="East"/>
    <s v="Mobile"/>
    <s v="Email"/>
    <s v="Free"/>
    <n v="1"/>
    <n v="0"/>
    <n v="0"/>
    <n v="0"/>
    <n v="0"/>
    <n v="0"/>
    <n v="0"/>
    <m/>
    <n v="47.1"/>
  </r>
  <r>
    <s v="USR-100535"/>
    <d v="2025-02-16T00:00:00"/>
    <x v="0"/>
    <s v="North"/>
    <s v="Desktop"/>
    <s v="Paid Search"/>
    <s v="Free"/>
    <n v="1"/>
    <n v="1"/>
    <n v="1"/>
    <n v="0"/>
    <n v="0"/>
    <n v="0"/>
    <n v="0"/>
    <m/>
    <n v="70"/>
  </r>
  <r>
    <s v="USR-100536"/>
    <d v="2025-04-28T00:00:00"/>
    <x v="0"/>
    <s v="South"/>
    <s v="Mobile"/>
    <s v="Paid Search"/>
    <s v="Premium"/>
    <n v="1"/>
    <n v="0"/>
    <n v="0"/>
    <n v="0"/>
    <n v="0"/>
    <n v="0"/>
    <n v="0"/>
    <m/>
    <n v="54.6"/>
  </r>
  <r>
    <s v="USR-100537"/>
    <d v="2025-03-10T00:00:00"/>
    <x v="0"/>
    <s v="West"/>
    <s v="Tablet"/>
    <s v="Social"/>
    <s v="Basic"/>
    <n v="1"/>
    <n v="1"/>
    <n v="0"/>
    <n v="0"/>
    <n v="0"/>
    <n v="1"/>
    <n v="0"/>
    <m/>
    <n v="65.2"/>
  </r>
  <r>
    <s v="USR-100538"/>
    <d v="2025-01-25T00:00:00"/>
    <x v="0"/>
    <s v="East"/>
    <s v="Mobile"/>
    <s v="Social"/>
    <s v="Free"/>
    <n v="1"/>
    <n v="0"/>
    <n v="0"/>
    <n v="0"/>
    <n v="0"/>
    <n v="0"/>
    <n v="0"/>
    <m/>
    <n v="65"/>
  </r>
  <r>
    <s v="USR-100539"/>
    <d v="2025-01-11T00:00:00"/>
    <x v="0"/>
    <s v="West"/>
    <s v="Mobile"/>
    <s v="Paid Search"/>
    <s v="Premium"/>
    <n v="1"/>
    <n v="1"/>
    <n v="1"/>
    <n v="0"/>
    <n v="0"/>
    <n v="1"/>
    <n v="0"/>
    <m/>
    <n v="42.1"/>
  </r>
  <r>
    <s v="USR-100540"/>
    <d v="2025-03-31T00:00:00"/>
    <x v="0"/>
    <s v="West"/>
    <s v="Tablet"/>
    <s v="Paid Search"/>
    <s v="Free"/>
    <n v="1"/>
    <n v="0"/>
    <n v="0"/>
    <n v="0"/>
    <n v="0"/>
    <n v="0"/>
    <n v="0"/>
    <m/>
    <n v="43.4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  <r>
    <s v="USR-100542"/>
    <d v="2025-05-16T00:00:00"/>
    <x v="0"/>
    <s v="North"/>
    <s v="Mobile"/>
    <s v="Referral"/>
    <s v="Basic"/>
    <n v="0"/>
    <n v="0"/>
    <n v="0"/>
    <n v="0"/>
    <n v="0"/>
    <n v="0"/>
    <n v="0"/>
    <m/>
    <n v="74.099999999999994"/>
  </r>
  <r>
    <s v="USR-100543"/>
    <d v="2025-04-25T00:00:00"/>
    <x v="0"/>
    <s v="East"/>
    <s v="Desktop"/>
    <s v="Paid Search"/>
    <s v="Free"/>
    <n v="1"/>
    <n v="0"/>
    <n v="0"/>
    <n v="0"/>
    <n v="0"/>
    <n v="0"/>
    <n v="0"/>
    <m/>
    <n v="61.4"/>
  </r>
  <r>
    <s v="USR-100544"/>
    <d v="2025-04-17T00:00:00"/>
    <x v="0"/>
    <s v="East"/>
    <s v="Mobile"/>
    <s v="Social"/>
    <s v="Premium"/>
    <n v="1"/>
    <n v="1"/>
    <n v="1"/>
    <n v="0"/>
    <n v="0"/>
    <n v="0"/>
    <n v="0"/>
    <m/>
    <n v="76.8"/>
  </r>
  <r>
    <s v="USR-100545"/>
    <d v="2025-01-01T00:00:00"/>
    <x v="0"/>
    <s v="South"/>
    <s v="Desktop"/>
    <s v="Social"/>
    <s v="Basic"/>
    <n v="0"/>
    <n v="0"/>
    <n v="0"/>
    <n v="0"/>
    <n v="0"/>
    <n v="0"/>
    <n v="0"/>
    <m/>
    <m/>
  </r>
  <r>
    <s v="USR-100546"/>
    <d v="2025-03-18T00:00:00"/>
    <x v="0"/>
    <s v="East"/>
    <s v="Mobile"/>
    <s v="Paid Search"/>
    <s v="Basic"/>
    <n v="1"/>
    <n v="1"/>
    <n v="1"/>
    <n v="0"/>
    <n v="0"/>
    <n v="0"/>
    <n v="0"/>
    <m/>
    <n v="45.3"/>
  </r>
  <r>
    <s v="USR-100547"/>
    <d v="2025-05-20T00:00:00"/>
    <x v="0"/>
    <s v="North"/>
    <s v="Tablet"/>
    <s v="Paid Search"/>
    <s v="Free"/>
    <n v="1"/>
    <n v="0"/>
    <n v="0"/>
    <n v="0"/>
    <n v="0"/>
    <n v="0"/>
    <n v="0"/>
    <m/>
    <n v="41.4"/>
  </r>
  <r>
    <s v="USR-100548"/>
    <d v="2025-03-16T00:00:00"/>
    <x v="0"/>
    <s v="North"/>
    <s v="Mobile"/>
    <s v="Organic"/>
    <s v="Basic"/>
    <n v="1"/>
    <n v="0"/>
    <n v="0"/>
    <n v="0"/>
    <n v="0"/>
    <n v="0"/>
    <n v="0"/>
    <m/>
    <n v="37.1"/>
  </r>
  <r>
    <s v="USR-100549"/>
    <d v="2025-05-30T00:00:00"/>
    <x v="0"/>
    <s v="East"/>
    <s v="Desktop"/>
    <s v="Social"/>
    <s v="Free"/>
    <n v="1"/>
    <n v="0"/>
    <n v="0"/>
    <n v="0"/>
    <n v="0"/>
    <n v="0"/>
    <n v="0"/>
    <m/>
    <n v="40.700000000000003"/>
  </r>
  <r>
    <s v="USR-100550"/>
    <d v="2025-02-20T00:00:00"/>
    <x v="0"/>
    <s v="North"/>
    <s v="Mobile"/>
    <s v="Social"/>
    <s v="Premium"/>
    <n v="0"/>
    <n v="0"/>
    <n v="0"/>
    <n v="0"/>
    <n v="0"/>
    <n v="2"/>
    <n v="0"/>
    <m/>
    <n v="55.9"/>
  </r>
  <r>
    <s v="USR-100551"/>
    <d v="2025-02-11T00:00:00"/>
    <x v="0"/>
    <s v="East"/>
    <m/>
    <s v="Social"/>
    <s v="Free"/>
    <n v="1"/>
    <n v="1"/>
    <n v="0"/>
    <n v="0"/>
    <n v="0"/>
    <n v="0"/>
    <n v="0"/>
    <m/>
    <n v="55.8"/>
  </r>
  <r>
    <s v="USR-100552"/>
    <d v="2025-01-02T00:00:00"/>
    <x v="0"/>
    <s v="South"/>
    <s v="Tablet"/>
    <s v="Referral"/>
    <s v="Basic"/>
    <n v="1"/>
    <n v="0"/>
    <n v="0"/>
    <n v="0"/>
    <n v="0"/>
    <n v="0"/>
    <n v="0"/>
    <m/>
    <n v="64.3"/>
  </r>
  <r>
    <s v="USR-100553"/>
    <d v="2025-05-03T00:00:00"/>
    <x v="0"/>
    <s v="North"/>
    <s v="Mobile"/>
    <s v="Organic"/>
    <s v="Free"/>
    <n v="0"/>
    <n v="0"/>
    <n v="0"/>
    <n v="0"/>
    <n v="0"/>
    <n v="0"/>
    <n v="0"/>
    <m/>
    <n v="65.400000000000006"/>
  </r>
  <r>
    <s v="USR-100554"/>
    <d v="2025-02-24T00:00:00"/>
    <x v="0"/>
    <s v="West"/>
    <s v="Mobile"/>
    <s v="Organic"/>
    <s v="Free"/>
    <n v="1"/>
    <n v="0"/>
    <n v="0"/>
    <n v="0"/>
    <n v="0"/>
    <n v="0"/>
    <n v="0"/>
    <m/>
    <n v="89.8"/>
  </r>
  <r>
    <s v="USR-100555"/>
    <d v="2025-02-11T00:00:00"/>
    <x v="0"/>
    <s v="South"/>
    <m/>
    <s v="Organic"/>
    <s v="Free"/>
    <n v="1"/>
    <n v="1"/>
    <n v="1"/>
    <n v="0"/>
    <n v="0"/>
    <n v="0"/>
    <n v="0"/>
    <m/>
    <n v="58.3"/>
  </r>
  <r>
    <s v="USR-100556"/>
    <d v="2025-05-06T00:00:00"/>
    <x v="0"/>
    <s v="South"/>
    <s v="Mobile"/>
    <s v="Social"/>
    <s v="Basic"/>
    <n v="1"/>
    <n v="0"/>
    <n v="0"/>
    <n v="0"/>
    <n v="0"/>
    <n v="0"/>
    <n v="0"/>
    <m/>
    <n v="64.400000000000006"/>
  </r>
  <r>
    <s v="USR-100557"/>
    <d v="2025-05-23T00:00:00"/>
    <x v="0"/>
    <s v="North"/>
    <s v="Mobile"/>
    <s v="Paid Search"/>
    <s v="Premium"/>
    <n v="0"/>
    <n v="0"/>
    <n v="0"/>
    <n v="0"/>
    <n v="0"/>
    <n v="0"/>
    <n v="0"/>
    <m/>
    <n v="46.2"/>
  </r>
  <r>
    <s v="USR-100558"/>
    <d v="2025-01-09T00:00:00"/>
    <x v="0"/>
    <s v="North"/>
    <s v="Desktop"/>
    <s v="Paid Search"/>
    <s v="Free"/>
    <n v="0"/>
    <n v="0"/>
    <n v="0"/>
    <n v="0"/>
    <n v="0"/>
    <n v="0"/>
    <n v="0"/>
    <m/>
    <n v="78"/>
  </r>
  <r>
    <s v="USR-100559"/>
    <d v="2025-04-01T00:00:00"/>
    <x v="0"/>
    <s v="North"/>
    <s v="Desktop"/>
    <s v="Organic"/>
    <s v="Premium"/>
    <n v="1"/>
    <n v="0"/>
    <n v="0"/>
    <n v="0"/>
    <n v="0"/>
    <n v="0"/>
    <n v="0"/>
    <m/>
    <n v="62.3"/>
  </r>
  <r>
    <s v="USR-100560"/>
    <d v="2025-03-08T00:00:00"/>
    <x v="0"/>
    <s v="North"/>
    <s v="Mobile"/>
    <s v="Organic"/>
    <s v="Free"/>
    <n v="1"/>
    <n v="0"/>
    <n v="0"/>
    <n v="0"/>
    <n v="0"/>
    <n v="0"/>
    <n v="0"/>
    <m/>
    <n v="78.8"/>
  </r>
  <r>
    <s v="USR-100561"/>
    <d v="2025-02-20T00:00:00"/>
    <x v="0"/>
    <s v="North"/>
    <s v="Mobile"/>
    <s v="Social"/>
    <s v="Basic"/>
    <n v="1"/>
    <n v="0"/>
    <n v="0"/>
    <n v="0"/>
    <n v="0"/>
    <n v="0"/>
    <n v="0"/>
    <m/>
    <n v="25"/>
  </r>
  <r>
    <s v="USR-100562"/>
    <d v="2025-03-30T00:00:00"/>
    <x v="0"/>
    <s v="East"/>
    <s v="Mobile"/>
    <s v="Social"/>
    <s v="Basic"/>
    <n v="0"/>
    <n v="0"/>
    <n v="0"/>
    <n v="0"/>
    <n v="0"/>
    <n v="0"/>
    <n v="0"/>
    <m/>
    <n v="53.4"/>
  </r>
  <r>
    <s v="USR-100563"/>
    <d v="2025-04-10T00:00:00"/>
    <x v="0"/>
    <s v="East"/>
    <s v="Desktop"/>
    <s v="Organic"/>
    <s v="Basic"/>
    <n v="0"/>
    <n v="0"/>
    <n v="0"/>
    <n v="0"/>
    <n v="0"/>
    <n v="0"/>
    <n v="0"/>
    <m/>
    <n v="40.700000000000003"/>
  </r>
  <r>
    <s v="USR-100564"/>
    <d v="2025-03-24T00:00:00"/>
    <x v="0"/>
    <s v="East"/>
    <s v="Mobile"/>
    <s v="Organic"/>
    <s v="Premium"/>
    <n v="1"/>
    <n v="1"/>
    <n v="0"/>
    <n v="0"/>
    <n v="0"/>
    <n v="0"/>
    <n v="0"/>
    <m/>
    <n v="36.700000000000003"/>
  </r>
  <r>
    <s v="USR-100565"/>
    <d v="2025-05-21T00:00:00"/>
    <x v="0"/>
    <s v="West"/>
    <s v="Mobile"/>
    <s v="Organic"/>
    <s v="Basic"/>
    <n v="1"/>
    <n v="0"/>
    <n v="0"/>
    <n v="0"/>
    <n v="0"/>
    <n v="1"/>
    <n v="0"/>
    <m/>
    <n v="67.5"/>
  </r>
  <r>
    <s v="USR-100566"/>
    <d v="2025-03-29T00:00:00"/>
    <x v="0"/>
    <s v="East"/>
    <s v="Mobile"/>
    <s v="Social"/>
    <s v="Premium"/>
    <n v="1"/>
    <n v="1"/>
    <n v="1"/>
    <n v="0"/>
    <n v="0"/>
    <n v="0"/>
    <n v="0"/>
    <m/>
    <n v="69.900000000000006"/>
  </r>
  <r>
    <s v="USR-100567"/>
    <d v="2025-02-23T00:00:00"/>
    <x v="0"/>
    <s v="North"/>
    <s v="Tablet"/>
    <s v="Referral"/>
    <s v="Basic"/>
    <n v="1"/>
    <n v="0"/>
    <n v="0"/>
    <n v="0"/>
    <n v="0"/>
    <n v="0"/>
    <n v="0"/>
    <m/>
    <n v="65.099999999999994"/>
  </r>
  <r>
    <s v="USR-100568"/>
    <d v="2025-02-16T00:00:00"/>
    <x v="0"/>
    <s v="West"/>
    <s v="Mobile"/>
    <s v="Paid Search"/>
    <s v="Premium"/>
    <n v="1"/>
    <n v="0"/>
    <n v="0"/>
    <n v="0"/>
    <n v="0"/>
    <n v="0"/>
    <n v="0"/>
    <m/>
    <n v="48.7"/>
  </r>
  <r>
    <s v="USR-100569"/>
    <d v="2025-02-21T00:00:00"/>
    <x v="0"/>
    <s v="West"/>
    <s v="Desktop"/>
    <s v="Organic"/>
    <s v="Basic"/>
    <n v="1"/>
    <n v="1"/>
    <n v="0"/>
    <n v="0"/>
    <n v="0"/>
    <n v="0"/>
    <n v="0"/>
    <m/>
    <n v="47.2"/>
  </r>
  <r>
    <s v="USR-100570"/>
    <d v="2025-01-07T00:00:00"/>
    <x v="0"/>
    <s v="North"/>
    <s v="Mobile"/>
    <s v="Referral"/>
    <s v="Free"/>
    <n v="1"/>
    <n v="0"/>
    <n v="0"/>
    <n v="0"/>
    <n v="0"/>
    <n v="2"/>
    <n v="0"/>
    <m/>
    <n v="20.3"/>
  </r>
  <r>
    <s v="USR-100571"/>
    <d v="2025-03-06T00:00:00"/>
    <x v="0"/>
    <s v="West"/>
    <s v="Mobile"/>
    <s v="Paid Search"/>
    <s v="Free"/>
    <n v="0"/>
    <n v="0"/>
    <n v="0"/>
    <n v="0"/>
    <n v="0"/>
    <n v="1"/>
    <n v="0"/>
    <m/>
    <n v="57.8"/>
  </r>
  <r>
    <s v="USR-100572"/>
    <d v="2025-03-30T00:00:00"/>
    <x v="0"/>
    <s v="East"/>
    <s v="Mobile"/>
    <s v="Email"/>
    <s v="Basic"/>
    <n v="1"/>
    <n v="0"/>
    <n v="0"/>
    <n v="0"/>
    <n v="0"/>
    <n v="0"/>
    <n v="0"/>
    <m/>
    <n v="78.7"/>
  </r>
  <r>
    <s v="USR-100573"/>
    <d v="2025-05-31T00:00:00"/>
    <x v="0"/>
    <s v="South"/>
    <s v="Desktop"/>
    <s v="Organic"/>
    <s v="Free"/>
    <n v="1"/>
    <n v="0"/>
    <n v="0"/>
    <n v="0"/>
    <n v="0"/>
    <n v="0"/>
    <n v="0"/>
    <m/>
    <n v="63.6"/>
  </r>
  <r>
    <s v="USR-100574"/>
    <d v="2025-02-20T00:00:00"/>
    <x v="0"/>
    <s v="South"/>
    <s v="Mobile"/>
    <s v="Email"/>
    <s v="Free"/>
    <n v="0"/>
    <n v="0"/>
    <n v="0"/>
    <n v="0"/>
    <n v="0"/>
    <n v="2"/>
    <n v="0"/>
    <m/>
    <n v="45.1"/>
  </r>
  <r>
    <s v="USR-100575"/>
    <d v="2025-01-13T00:00:00"/>
    <x v="0"/>
    <s v="West"/>
    <s v="Mobile"/>
    <s v="Social"/>
    <s v="Free"/>
    <n v="0"/>
    <n v="0"/>
    <n v="0"/>
    <n v="0"/>
    <n v="0"/>
    <n v="0"/>
    <n v="0"/>
    <m/>
    <n v="77.5"/>
  </r>
  <r>
    <s v="USR-100576"/>
    <d v="2025-05-13T00:00:00"/>
    <x v="0"/>
    <s v="East"/>
    <s v="Desktop"/>
    <s v="Paid Search"/>
    <s v="Basic"/>
    <n v="1"/>
    <n v="1"/>
    <n v="0"/>
    <n v="0"/>
    <n v="0"/>
    <n v="0"/>
    <n v="0"/>
    <m/>
    <n v="58"/>
  </r>
  <r>
    <s v="USR-100577"/>
    <d v="2025-04-21T00:00:00"/>
    <x v="0"/>
    <s v="South"/>
    <s v="Tablet"/>
    <s v="Organic"/>
    <s v="Free"/>
    <n v="1"/>
    <n v="0"/>
    <n v="0"/>
    <n v="0"/>
    <n v="0"/>
    <n v="0"/>
    <n v="0"/>
    <m/>
    <n v="68.099999999999994"/>
  </r>
  <r>
    <s v="USR-100578"/>
    <d v="2025-03-01T00:00:00"/>
    <x v="0"/>
    <s v="East"/>
    <s v="Tablet"/>
    <s v="Organic"/>
    <s v="Premium"/>
    <n v="1"/>
    <n v="0"/>
    <n v="0"/>
    <n v="0"/>
    <n v="0"/>
    <n v="0"/>
    <n v="0"/>
    <m/>
    <n v="35.4"/>
  </r>
  <r>
    <s v="USR-100579"/>
    <d v="2025-03-10T00:00:00"/>
    <x v="0"/>
    <s v="West"/>
    <s v="Tablet"/>
    <s v="Organic"/>
    <s v="Free"/>
    <n v="0"/>
    <n v="0"/>
    <n v="0"/>
    <n v="0"/>
    <n v="0"/>
    <n v="0"/>
    <n v="0"/>
    <m/>
    <n v="47"/>
  </r>
  <r>
    <s v="USR-100580"/>
    <d v="2025-03-08T00:00:00"/>
    <x v="0"/>
    <s v="East"/>
    <s v="Desktop"/>
    <s v="Paid Search"/>
    <s v="Free"/>
    <n v="0"/>
    <n v="0"/>
    <n v="0"/>
    <n v="0"/>
    <n v="0"/>
    <n v="0"/>
    <n v="0"/>
    <m/>
    <n v="75"/>
  </r>
  <r>
    <s v="USR-100581"/>
    <d v="2025-05-26T00:00:00"/>
    <x v="0"/>
    <s v="South"/>
    <s v="Desktop"/>
    <s v="Paid Search"/>
    <s v="Free"/>
    <n v="1"/>
    <n v="1"/>
    <n v="1"/>
    <n v="0"/>
    <n v="0"/>
    <n v="3"/>
    <n v="0"/>
    <m/>
    <n v="50.2"/>
  </r>
  <r>
    <s v="USR-100582"/>
    <d v="2025-05-20T00:00:00"/>
    <x v="0"/>
    <s v="East"/>
    <s v="Desktop"/>
    <s v="Paid Search"/>
    <s v="Free"/>
    <n v="1"/>
    <n v="0"/>
    <n v="0"/>
    <n v="0"/>
    <n v="0"/>
    <n v="0"/>
    <n v="0"/>
    <m/>
    <n v="40.1"/>
  </r>
  <r>
    <s v="USR-100583"/>
    <d v="2025-03-22T00:00:00"/>
    <x v="0"/>
    <s v="West"/>
    <s v="Desktop"/>
    <s v="Paid Search"/>
    <s v="Free"/>
    <n v="0"/>
    <n v="0"/>
    <n v="0"/>
    <n v="0"/>
    <n v="0"/>
    <n v="0"/>
    <n v="0"/>
    <m/>
    <n v="61.1"/>
  </r>
  <r>
    <s v="USR-100584"/>
    <d v="2025-02-15T00:00:00"/>
    <x v="0"/>
    <s v="South"/>
    <s v="Desktop"/>
    <s v="Paid Search"/>
    <s v="Free"/>
    <n v="0"/>
    <n v="0"/>
    <n v="0"/>
    <n v="0"/>
    <n v="0"/>
    <n v="0"/>
    <n v="0"/>
    <m/>
    <n v="42.4"/>
  </r>
  <r>
    <s v="USR-100585"/>
    <d v="2025-01-08T00:00:00"/>
    <x v="0"/>
    <s v="North"/>
    <s v="Mobile"/>
    <s v="Social"/>
    <s v="Free"/>
    <n v="0"/>
    <n v="0"/>
    <n v="0"/>
    <n v="0"/>
    <n v="0"/>
    <n v="1"/>
    <n v="0"/>
    <m/>
    <n v="46.6"/>
  </r>
  <r>
    <s v="USR-100586"/>
    <d v="2025-01-29T00:00:00"/>
    <x v="0"/>
    <s v="South"/>
    <s v="Mobile"/>
    <s v="Organic"/>
    <s v="Premium"/>
    <n v="1"/>
    <n v="1"/>
    <n v="0"/>
    <n v="0"/>
    <n v="0"/>
    <n v="0"/>
    <n v="0"/>
    <m/>
    <n v="72.099999999999994"/>
  </r>
  <r>
    <s v="USR-100587"/>
    <d v="2025-05-07T00:00:00"/>
    <x v="0"/>
    <s v="East"/>
    <s v="Tablet"/>
    <s v="Organic"/>
    <s v="Free"/>
    <n v="0"/>
    <n v="0"/>
    <n v="0"/>
    <n v="0"/>
    <n v="0"/>
    <n v="0"/>
    <n v="0"/>
    <m/>
    <n v="21.5"/>
  </r>
  <r>
    <s v="USR-100588"/>
    <d v="2025-03-01T00:00:00"/>
    <x v="0"/>
    <s v="North"/>
    <s v="Mobile"/>
    <s v="Social"/>
    <s v="Basic"/>
    <n v="1"/>
    <n v="0"/>
    <n v="0"/>
    <n v="0"/>
    <n v="0"/>
    <n v="1"/>
    <n v="0"/>
    <m/>
    <n v="65.400000000000006"/>
  </r>
  <r>
    <s v="USR-100589"/>
    <d v="2025-04-20T00:00:00"/>
    <x v="0"/>
    <s v="East"/>
    <s v="Mobile"/>
    <s v="Organic"/>
    <s v="Free"/>
    <n v="1"/>
    <n v="1"/>
    <n v="0"/>
    <n v="0"/>
    <n v="0"/>
    <n v="0"/>
    <n v="0"/>
    <m/>
    <n v="53.3"/>
  </r>
  <r>
    <s v="USR-100590"/>
    <d v="2025-01-16T00:00:00"/>
    <x v="0"/>
    <s v="East"/>
    <s v="Mobile"/>
    <s v="Organic"/>
    <s v="Premium"/>
    <n v="0"/>
    <n v="0"/>
    <n v="0"/>
    <n v="0"/>
    <n v="0"/>
    <n v="2"/>
    <n v="0"/>
    <m/>
    <n v="52.3"/>
  </r>
  <r>
    <s v="USR-100591"/>
    <d v="2025-04-04T00:00:00"/>
    <x v="0"/>
    <s v="East"/>
    <s v="Mobile"/>
    <s v="Paid Search"/>
    <s v="Free"/>
    <n v="1"/>
    <n v="0"/>
    <n v="0"/>
    <n v="0"/>
    <n v="0"/>
    <n v="0"/>
    <n v="0"/>
    <m/>
    <n v="62.5"/>
  </r>
  <r>
    <s v="USR-100592"/>
    <d v="2025-01-29T00:00:00"/>
    <x v="0"/>
    <s v="North"/>
    <s v="Tablet"/>
    <s v="Social"/>
    <s v="Free"/>
    <n v="1"/>
    <n v="0"/>
    <n v="0"/>
    <n v="0"/>
    <n v="0"/>
    <n v="0"/>
    <n v="0"/>
    <m/>
    <n v="69.8"/>
  </r>
  <r>
    <s v="USR-100593"/>
    <d v="2025-04-19T00:00:00"/>
    <x v="0"/>
    <s v="East"/>
    <s v="Mobile"/>
    <s v="Email"/>
    <s v="Free"/>
    <n v="1"/>
    <n v="0"/>
    <n v="0"/>
    <n v="0"/>
    <n v="0"/>
    <n v="0"/>
    <n v="0"/>
    <m/>
    <n v="68.2"/>
  </r>
  <r>
    <s v="USR-100594"/>
    <d v="2025-03-10T00:00:00"/>
    <x v="0"/>
    <s v="South"/>
    <s v="Mobile"/>
    <s v="Social"/>
    <s v="Basic"/>
    <n v="1"/>
    <n v="1"/>
    <n v="1"/>
    <n v="1"/>
    <n v="751.73"/>
    <n v="0"/>
    <n v="0"/>
    <n v="6"/>
    <n v="35.200000000000003"/>
  </r>
  <r>
    <s v="USR-100595"/>
    <d v="2025-05-10T00:00:00"/>
    <x v="0"/>
    <s v="South"/>
    <s v="Mobile"/>
    <s v="Social"/>
    <s v="Basic"/>
    <n v="0"/>
    <n v="0"/>
    <n v="0"/>
    <n v="0"/>
    <n v="0"/>
    <n v="0"/>
    <n v="0"/>
    <m/>
    <n v="59.3"/>
  </r>
  <r>
    <s v="USR-100596"/>
    <d v="2025-02-02T00:00:00"/>
    <x v="0"/>
    <s v="North"/>
    <s v="Mobile"/>
    <s v="Social"/>
    <s v="Free"/>
    <n v="0"/>
    <n v="0"/>
    <n v="0"/>
    <n v="0"/>
    <n v="0"/>
    <n v="0"/>
    <n v="0"/>
    <m/>
    <n v="68.099999999999994"/>
  </r>
  <r>
    <s v="USR-100597"/>
    <d v="2025-05-06T00:00:00"/>
    <x v="0"/>
    <s v="North"/>
    <s v="Desktop"/>
    <s v="Organic"/>
    <s v="Free"/>
    <n v="1"/>
    <n v="1"/>
    <n v="0"/>
    <n v="0"/>
    <n v="0"/>
    <n v="0"/>
    <n v="0"/>
    <m/>
    <n v="74.8"/>
  </r>
  <r>
    <s v="USR-100598"/>
    <d v="2025-01-19T00:00:00"/>
    <x v="0"/>
    <s v="West"/>
    <s v="Desktop"/>
    <s v="Organic"/>
    <s v="Free"/>
    <n v="1"/>
    <n v="1"/>
    <n v="1"/>
    <n v="0"/>
    <n v="0"/>
    <n v="0"/>
    <n v="0"/>
    <m/>
    <n v="61.7"/>
  </r>
  <r>
    <s v="USR-100599"/>
    <d v="2025-01-02T00:00:00"/>
    <x v="0"/>
    <s v="North"/>
    <s v="Mobile"/>
    <s v="Organic"/>
    <s v="Free"/>
    <n v="1"/>
    <n v="0"/>
    <n v="0"/>
    <n v="0"/>
    <n v="0"/>
    <n v="0"/>
    <n v="0"/>
    <m/>
    <n v="24.3"/>
  </r>
  <r>
    <s v="USR-100600"/>
    <d v="2025-05-03T00:00:00"/>
    <x v="0"/>
    <s v="South"/>
    <s v="Desktop"/>
    <s v="Paid Search"/>
    <s v="Free"/>
    <n v="0"/>
    <n v="0"/>
    <n v="0"/>
    <n v="0"/>
    <n v="0"/>
    <n v="1"/>
    <n v="0"/>
    <m/>
    <n v="61.9"/>
  </r>
  <r>
    <s v="USR-100601"/>
    <d v="2025-05-27T00:00:00"/>
    <x v="0"/>
    <s v="East"/>
    <s v="Desktop"/>
    <s v="Referral"/>
    <s v="Premium"/>
    <n v="0"/>
    <n v="0"/>
    <n v="0"/>
    <n v="0"/>
    <n v="0"/>
    <n v="2"/>
    <n v="0"/>
    <m/>
    <n v="41.7"/>
  </r>
  <r>
    <s v="USR-100602"/>
    <d v="2025-02-09T00:00:00"/>
    <x v="0"/>
    <s v="South"/>
    <s v="Desktop"/>
    <s v="Social"/>
    <s v="Free"/>
    <n v="1"/>
    <n v="0"/>
    <n v="0"/>
    <n v="0"/>
    <n v="0"/>
    <n v="0"/>
    <n v="0"/>
    <m/>
    <n v="87.6"/>
  </r>
  <r>
    <s v="USR-100603"/>
    <d v="2025-05-18T00:00:00"/>
    <x v="0"/>
    <s v="East"/>
    <s v="Mobile"/>
    <s v="Paid Search"/>
    <s v="Free"/>
    <n v="1"/>
    <n v="0"/>
    <n v="0"/>
    <n v="0"/>
    <n v="0"/>
    <n v="0"/>
    <n v="0"/>
    <m/>
    <n v="30.8"/>
  </r>
  <r>
    <s v="USR-100604"/>
    <d v="2025-05-17T00:00:00"/>
    <x v="0"/>
    <s v="North"/>
    <s v="Mobile"/>
    <s v="Email"/>
    <s v="Free"/>
    <n v="0"/>
    <n v="0"/>
    <n v="0"/>
    <n v="0"/>
    <n v="0"/>
    <n v="0"/>
    <n v="0"/>
    <m/>
    <n v="54"/>
  </r>
  <r>
    <s v="USR-100605"/>
    <d v="2025-01-25T00:00:00"/>
    <x v="0"/>
    <s v="East"/>
    <s v="Desktop"/>
    <s v="Referral"/>
    <s v="Basic"/>
    <n v="1"/>
    <n v="0"/>
    <n v="0"/>
    <n v="0"/>
    <n v="0"/>
    <n v="1"/>
    <n v="0"/>
    <m/>
    <n v="54.5"/>
  </r>
  <r>
    <s v="USR-100606"/>
    <d v="2025-05-04T00:00:00"/>
    <x v="0"/>
    <s v="West"/>
    <s v="Mobile"/>
    <s v="Paid Search"/>
    <s v="Premium"/>
    <n v="1"/>
    <n v="1"/>
    <n v="0"/>
    <n v="0"/>
    <n v="0"/>
    <n v="0"/>
    <n v="0"/>
    <m/>
    <n v="61.3"/>
  </r>
  <r>
    <s v="USR-100607"/>
    <d v="2025-04-14T00:00:00"/>
    <x v="0"/>
    <s v="West"/>
    <s v="Mobile"/>
    <s v="Organic"/>
    <s v="Free"/>
    <n v="1"/>
    <n v="0"/>
    <n v="0"/>
    <n v="0"/>
    <n v="0"/>
    <n v="0"/>
    <n v="0"/>
    <m/>
    <n v="62.7"/>
  </r>
  <r>
    <s v="USR-100608"/>
    <d v="2025-04-18T00:00:00"/>
    <x v="0"/>
    <s v="South"/>
    <s v="Mobile"/>
    <s v="Paid Search"/>
    <s v="Free"/>
    <n v="1"/>
    <n v="1"/>
    <n v="0"/>
    <n v="0"/>
    <n v="0"/>
    <n v="0"/>
    <n v="0"/>
    <m/>
    <n v="43.1"/>
  </r>
  <r>
    <s v="USR-100609"/>
    <d v="2025-02-24T00:00:00"/>
    <x v="0"/>
    <s v="South"/>
    <s v="Desktop"/>
    <s v="Email"/>
    <s v="Basic"/>
    <n v="0"/>
    <n v="0"/>
    <n v="0"/>
    <n v="0"/>
    <n v="0"/>
    <n v="0"/>
    <n v="0"/>
    <m/>
    <n v="59.9"/>
  </r>
  <r>
    <s v="USR-100610"/>
    <d v="2025-04-19T00:00:00"/>
    <x v="0"/>
    <s v="North"/>
    <s v="Tablet"/>
    <s v="Paid Search"/>
    <s v="Free"/>
    <n v="1"/>
    <n v="1"/>
    <n v="1"/>
    <n v="0"/>
    <n v="0"/>
    <n v="0"/>
    <n v="0"/>
    <m/>
    <n v="55.7"/>
  </r>
  <r>
    <s v="USR-100611"/>
    <d v="2025-03-07T00:00:00"/>
    <x v="0"/>
    <s v="South"/>
    <s v="Desktop"/>
    <s v="Organic"/>
    <s v="Basic"/>
    <n v="1"/>
    <n v="0"/>
    <n v="0"/>
    <n v="0"/>
    <n v="0"/>
    <n v="0"/>
    <n v="0"/>
    <m/>
    <n v="37.1"/>
  </r>
  <r>
    <s v="USR-100612"/>
    <d v="2025-03-09T00:00:00"/>
    <x v="0"/>
    <s v="East"/>
    <s v="Mobile"/>
    <s v="Organic"/>
    <s v="Basic"/>
    <n v="0"/>
    <n v="0"/>
    <n v="0"/>
    <n v="0"/>
    <n v="0"/>
    <n v="1"/>
    <n v="0"/>
    <m/>
    <n v="46.7"/>
  </r>
  <r>
    <s v="USR-100613"/>
    <d v="2025-05-01T00:00:00"/>
    <x v="0"/>
    <s v="South"/>
    <s v="Desktop"/>
    <s v="Organic"/>
    <s v="Basic"/>
    <n v="1"/>
    <n v="0"/>
    <n v="0"/>
    <n v="0"/>
    <n v="0"/>
    <n v="0"/>
    <n v="0"/>
    <m/>
    <n v="54.1"/>
  </r>
  <r>
    <s v="USR-100614"/>
    <d v="2025-02-09T00:00:00"/>
    <x v="0"/>
    <s v="West"/>
    <s v="Desktop"/>
    <s v="Organic"/>
    <s v="Premium"/>
    <n v="1"/>
    <n v="1"/>
    <n v="1"/>
    <n v="0"/>
    <n v="0"/>
    <n v="0"/>
    <n v="0"/>
    <m/>
    <n v="56.1"/>
  </r>
  <r>
    <s v="USR-100615"/>
    <d v="2025-05-22T00:00:00"/>
    <x v="0"/>
    <s v="West"/>
    <s v="Mobile"/>
    <s v="Referral"/>
    <s v="Premium"/>
    <n v="0"/>
    <n v="0"/>
    <n v="0"/>
    <n v="0"/>
    <n v="0"/>
    <n v="0"/>
    <n v="0"/>
    <m/>
    <n v="23.6"/>
  </r>
  <r>
    <s v="USR-100616"/>
    <d v="2025-02-11T00:00:00"/>
    <x v="0"/>
    <s v="North"/>
    <s v="Mobile"/>
    <s v="Organic"/>
    <s v="Premium"/>
    <n v="0"/>
    <n v="0"/>
    <n v="0"/>
    <n v="0"/>
    <n v="0"/>
    <n v="0"/>
    <n v="0"/>
    <m/>
    <n v="54.7"/>
  </r>
  <r>
    <s v="USR-100617"/>
    <d v="2025-04-12T00:00:00"/>
    <x v="0"/>
    <s v="North"/>
    <s v="Mobile"/>
    <s v="Referral"/>
    <s v="Basic"/>
    <n v="0"/>
    <n v="0"/>
    <n v="0"/>
    <n v="0"/>
    <n v="0"/>
    <n v="2"/>
    <n v="0"/>
    <m/>
    <n v="50.4"/>
  </r>
  <r>
    <s v="USR-100618"/>
    <d v="2025-03-01T00:00:00"/>
    <x v="0"/>
    <s v="West"/>
    <s v="Mobile"/>
    <s v="Social"/>
    <s v="Free"/>
    <n v="1"/>
    <n v="0"/>
    <n v="0"/>
    <n v="0"/>
    <n v="0"/>
    <n v="0"/>
    <n v="0"/>
    <m/>
    <n v="54.5"/>
  </r>
  <r>
    <s v="USR-100619"/>
    <d v="2025-03-17T00:00:00"/>
    <x v="0"/>
    <s v="West"/>
    <s v="Desktop"/>
    <s v="Email"/>
    <s v="Basic"/>
    <n v="0"/>
    <n v="0"/>
    <n v="0"/>
    <n v="0"/>
    <n v="0"/>
    <n v="0"/>
    <n v="0"/>
    <m/>
    <n v="58"/>
  </r>
  <r>
    <s v="USR-100620"/>
    <d v="2025-01-11T00:00:00"/>
    <x v="0"/>
    <s v="North"/>
    <s v="Mobile"/>
    <s v="Paid Search"/>
    <s v="Free"/>
    <n v="0"/>
    <n v="0"/>
    <n v="0"/>
    <n v="0"/>
    <n v="0"/>
    <n v="0"/>
    <n v="0"/>
    <m/>
    <n v="42.9"/>
  </r>
  <r>
    <s v="USR-100621"/>
    <d v="2025-02-17T00:00:00"/>
    <x v="0"/>
    <s v="South"/>
    <s v="Mobile"/>
    <s v="Social"/>
    <s v="Premium"/>
    <n v="1"/>
    <n v="0"/>
    <n v="0"/>
    <n v="0"/>
    <n v="0"/>
    <n v="0"/>
    <n v="0"/>
    <m/>
    <n v="51.1"/>
  </r>
  <r>
    <s v="USR-100622"/>
    <d v="2025-03-25T00:00:00"/>
    <x v="0"/>
    <s v="East"/>
    <s v="Mobile"/>
    <s v="Paid Search"/>
    <s v="Basic"/>
    <n v="1"/>
    <n v="1"/>
    <n v="0"/>
    <n v="0"/>
    <n v="0"/>
    <n v="0"/>
    <n v="0"/>
    <m/>
    <n v="51.8"/>
  </r>
  <r>
    <s v="USR-100623"/>
    <d v="2025-05-01T00:00:00"/>
    <x v="0"/>
    <s v="South"/>
    <s v="Mobile"/>
    <s v="Paid Search"/>
    <s v="Free"/>
    <n v="0"/>
    <n v="0"/>
    <n v="0"/>
    <n v="0"/>
    <n v="0"/>
    <n v="0"/>
    <n v="0"/>
    <m/>
    <n v="67.7"/>
  </r>
  <r>
    <s v="USR-100624"/>
    <d v="2025-04-02T00:00:00"/>
    <x v="0"/>
    <s v="East"/>
    <s v="Mobile"/>
    <s v="Organic"/>
    <s v="Basic"/>
    <n v="0"/>
    <n v="0"/>
    <n v="0"/>
    <n v="0"/>
    <n v="0"/>
    <n v="0"/>
    <n v="0"/>
    <m/>
    <n v="75.8"/>
  </r>
  <r>
    <s v="USR-100625"/>
    <d v="2025-04-05T00:00:00"/>
    <x v="0"/>
    <s v="East"/>
    <s v="Mobile"/>
    <s v="Email"/>
    <s v="Free"/>
    <n v="1"/>
    <n v="1"/>
    <n v="0"/>
    <n v="0"/>
    <n v="0"/>
    <n v="0"/>
    <n v="0"/>
    <m/>
    <n v="72.8"/>
  </r>
  <r>
    <s v="USR-100626"/>
    <d v="2025-02-24T00:00:00"/>
    <x v="0"/>
    <s v="North"/>
    <s v="Desktop"/>
    <s v="Social"/>
    <s v="Free"/>
    <n v="1"/>
    <n v="1"/>
    <n v="0"/>
    <n v="0"/>
    <n v="0"/>
    <n v="0"/>
    <n v="0"/>
    <m/>
    <n v="54.4"/>
  </r>
  <r>
    <s v="USR-100627"/>
    <d v="2025-01-24T00:00:00"/>
    <x v="0"/>
    <s v="West"/>
    <s v="Mobile"/>
    <s v="Paid Search"/>
    <s v="Basic"/>
    <n v="1"/>
    <n v="0"/>
    <n v="0"/>
    <n v="0"/>
    <n v="0"/>
    <n v="0"/>
    <n v="0"/>
    <m/>
    <n v="51.8"/>
  </r>
  <r>
    <s v="USR-100628"/>
    <d v="2025-04-10T00:00:00"/>
    <x v="0"/>
    <s v="South"/>
    <s v="Mobile"/>
    <s v="Paid Search"/>
    <s v="Free"/>
    <n v="0"/>
    <n v="0"/>
    <n v="0"/>
    <n v="0"/>
    <n v="0"/>
    <n v="0"/>
    <n v="0"/>
    <m/>
    <n v="40.299999999999997"/>
  </r>
  <r>
    <s v="USR-100629"/>
    <d v="2025-02-19T00:00:00"/>
    <x v="0"/>
    <s v="South"/>
    <s v="Mobile"/>
    <s v="Referral"/>
    <s v="Free"/>
    <n v="1"/>
    <n v="1"/>
    <n v="1"/>
    <n v="0"/>
    <n v="0"/>
    <n v="0"/>
    <n v="0"/>
    <m/>
    <n v="61.7"/>
  </r>
  <r>
    <s v="USR-100630"/>
    <d v="2025-03-22T00:00:00"/>
    <x v="0"/>
    <s v="North"/>
    <s v="Mobile"/>
    <s v="Social"/>
    <s v="Free"/>
    <n v="0"/>
    <n v="0"/>
    <n v="0"/>
    <n v="0"/>
    <n v="0"/>
    <n v="0"/>
    <n v="0"/>
    <m/>
    <n v="45"/>
  </r>
  <r>
    <s v="USR-100631"/>
    <d v="2025-04-08T00:00:00"/>
    <x v="0"/>
    <s v="East"/>
    <s v="Desktop"/>
    <s v="Organic"/>
    <s v="Premium"/>
    <n v="1"/>
    <n v="1"/>
    <n v="1"/>
    <n v="0"/>
    <n v="0"/>
    <n v="0"/>
    <n v="0"/>
    <m/>
    <n v="60"/>
  </r>
  <r>
    <s v="USR-100632"/>
    <d v="2025-03-16T00:00:00"/>
    <x v="0"/>
    <s v="North"/>
    <s v="Mobile"/>
    <s v="Social"/>
    <s v="Free"/>
    <n v="1"/>
    <n v="0"/>
    <n v="0"/>
    <n v="0"/>
    <n v="0"/>
    <n v="0"/>
    <n v="0"/>
    <m/>
    <m/>
  </r>
  <r>
    <s v="USR-100633"/>
    <d v="2025-03-07T00:00:00"/>
    <x v="0"/>
    <s v="East"/>
    <s v="Mobile"/>
    <s v="Paid Search"/>
    <s v="Free"/>
    <n v="1"/>
    <n v="0"/>
    <n v="0"/>
    <n v="0"/>
    <n v="0"/>
    <n v="0"/>
    <n v="0"/>
    <m/>
    <n v="55.5"/>
  </r>
  <r>
    <s v="USR-100634"/>
    <d v="2025-03-16T00:00:00"/>
    <x v="0"/>
    <s v="South"/>
    <s v="Mobile"/>
    <s v="Referral"/>
    <s v="Basic"/>
    <n v="0"/>
    <n v="0"/>
    <n v="0"/>
    <n v="0"/>
    <n v="0"/>
    <n v="0"/>
    <n v="0"/>
    <m/>
    <n v="51.8"/>
  </r>
  <r>
    <s v="USR-100635"/>
    <d v="2025-05-26T00:00:00"/>
    <x v="0"/>
    <s v="East"/>
    <s v="Mobile"/>
    <m/>
    <s v="Premium"/>
    <n v="1"/>
    <n v="0"/>
    <n v="0"/>
    <n v="0"/>
    <n v="0"/>
    <n v="3"/>
    <n v="0"/>
    <m/>
    <n v="56"/>
  </r>
  <r>
    <s v="USR-100636"/>
    <d v="2025-01-14T00:00:00"/>
    <x v="0"/>
    <s v="West"/>
    <s v="Mobile"/>
    <s v="Organic"/>
    <s v="Free"/>
    <n v="0"/>
    <n v="0"/>
    <n v="0"/>
    <n v="0"/>
    <n v="0"/>
    <n v="0"/>
    <n v="0"/>
    <m/>
    <n v="52.5"/>
  </r>
  <r>
    <s v="USR-100637"/>
    <d v="2025-03-30T00:00:00"/>
    <x v="0"/>
    <s v="West"/>
    <s v="Mobile"/>
    <s v="Paid Search"/>
    <s v="Premium"/>
    <n v="1"/>
    <n v="0"/>
    <n v="0"/>
    <n v="0"/>
    <n v="0"/>
    <n v="0"/>
    <n v="0"/>
    <m/>
    <n v="42.5"/>
  </r>
  <r>
    <s v="USR-100638"/>
    <d v="2025-05-12T00:00:00"/>
    <x v="0"/>
    <s v="East"/>
    <s v="Desktop"/>
    <s v="Email"/>
    <s v="Free"/>
    <n v="1"/>
    <n v="1"/>
    <n v="1"/>
    <n v="0"/>
    <n v="0"/>
    <n v="0"/>
    <n v="0"/>
    <m/>
    <n v="65.3"/>
  </r>
  <r>
    <s v="USR-100639"/>
    <d v="2025-05-10T00:00:00"/>
    <x v="0"/>
    <s v="West"/>
    <s v="Mobile"/>
    <s v="Paid Search"/>
    <s v="Free"/>
    <n v="0"/>
    <n v="0"/>
    <n v="0"/>
    <n v="0"/>
    <n v="0"/>
    <n v="0"/>
    <n v="0"/>
    <m/>
    <n v="37.6"/>
  </r>
  <r>
    <s v="USR-100640"/>
    <d v="2025-04-09T00:00:00"/>
    <x v="0"/>
    <s v="East"/>
    <s v="Mobile"/>
    <s v="Social"/>
    <s v="Basic"/>
    <n v="0"/>
    <n v="0"/>
    <n v="0"/>
    <n v="0"/>
    <n v="0"/>
    <n v="0"/>
    <n v="0"/>
    <m/>
    <n v="57.8"/>
  </r>
  <r>
    <s v="USR-100641"/>
    <d v="2025-05-26T00:00:00"/>
    <x v="0"/>
    <s v="North"/>
    <s v="Mobile"/>
    <s v="Social"/>
    <s v="Free"/>
    <n v="1"/>
    <n v="0"/>
    <n v="0"/>
    <n v="0"/>
    <n v="0"/>
    <n v="0"/>
    <n v="0"/>
    <m/>
    <n v="52.7"/>
  </r>
  <r>
    <s v="USR-100642"/>
    <d v="2025-02-12T00:00:00"/>
    <x v="0"/>
    <s v="North"/>
    <s v="Mobile"/>
    <s v="Organic"/>
    <s v="Free"/>
    <n v="1"/>
    <n v="0"/>
    <n v="0"/>
    <n v="0"/>
    <n v="0"/>
    <n v="0"/>
    <n v="0"/>
    <m/>
    <n v="51.7"/>
  </r>
  <r>
    <s v="USR-100643"/>
    <d v="2025-04-01T00:00:00"/>
    <x v="0"/>
    <s v="North"/>
    <s v="Desktop"/>
    <s v="Email"/>
    <s v="Basic"/>
    <n v="0"/>
    <n v="0"/>
    <n v="0"/>
    <n v="0"/>
    <n v="0"/>
    <n v="0"/>
    <n v="0"/>
    <m/>
    <n v="57"/>
  </r>
  <r>
    <s v="USR-100644"/>
    <d v="2025-01-18T00:00:00"/>
    <x v="0"/>
    <s v="South"/>
    <s v="Desktop"/>
    <s v="Organic"/>
    <s v="Basic"/>
    <n v="0"/>
    <n v="0"/>
    <n v="0"/>
    <n v="0"/>
    <n v="0"/>
    <n v="0"/>
    <n v="0"/>
    <m/>
    <n v="39.5"/>
  </r>
  <r>
    <s v="USR-100645"/>
    <d v="2025-04-06T00:00:00"/>
    <x v="0"/>
    <s v="East"/>
    <s v="Tablet"/>
    <s v="Organic"/>
    <s v="Free"/>
    <n v="1"/>
    <n v="0"/>
    <n v="0"/>
    <n v="0"/>
    <n v="0"/>
    <n v="0"/>
    <n v="0"/>
    <m/>
    <n v="76.5"/>
  </r>
  <r>
    <s v="USR-100646"/>
    <d v="2025-04-17T00:00:00"/>
    <x v="0"/>
    <s v="East"/>
    <s v="Mobile"/>
    <s v="Organic"/>
    <s v="Free"/>
    <n v="1"/>
    <n v="0"/>
    <n v="0"/>
    <n v="0"/>
    <n v="0"/>
    <n v="0"/>
    <n v="0"/>
    <m/>
    <n v="32.4"/>
  </r>
  <r>
    <s v="USR-100647"/>
    <d v="2025-02-07T00:00:00"/>
    <x v="0"/>
    <s v="North"/>
    <s v="Desktop"/>
    <s v="Paid Search"/>
    <s v="Free"/>
    <n v="0"/>
    <n v="0"/>
    <n v="0"/>
    <n v="0"/>
    <n v="0"/>
    <n v="0"/>
    <n v="0"/>
    <m/>
    <n v="58.6"/>
  </r>
  <r>
    <s v="USR-100648"/>
    <d v="2025-03-04T00:00:00"/>
    <x v="0"/>
    <s v="East"/>
    <s v="Mobile"/>
    <s v="Organic"/>
    <s v="Basic"/>
    <n v="1"/>
    <n v="0"/>
    <n v="0"/>
    <n v="0"/>
    <n v="0"/>
    <n v="0"/>
    <n v="0"/>
    <m/>
    <n v="78.599999999999994"/>
  </r>
  <r>
    <s v="USR-100649"/>
    <d v="2025-02-17T00:00:00"/>
    <x v="0"/>
    <s v="North"/>
    <s v="Desktop"/>
    <s v="Organic"/>
    <s v="Premium"/>
    <n v="0"/>
    <n v="0"/>
    <n v="0"/>
    <n v="0"/>
    <n v="0"/>
    <n v="0"/>
    <n v="0"/>
    <m/>
    <n v="54.5"/>
  </r>
  <r>
    <s v="USR-100650"/>
    <d v="2025-05-06T00:00:00"/>
    <x v="0"/>
    <s v="South"/>
    <s v="Mobile"/>
    <s v="Referral"/>
    <s v="Free"/>
    <n v="1"/>
    <n v="0"/>
    <n v="0"/>
    <n v="0"/>
    <n v="0"/>
    <n v="0"/>
    <n v="0"/>
    <m/>
    <n v="57.6"/>
  </r>
  <r>
    <s v="USR-100651"/>
    <d v="2025-03-25T00:00:00"/>
    <x v="0"/>
    <s v="South"/>
    <s v="Mobile"/>
    <s v="Referral"/>
    <s v="Premium"/>
    <n v="0"/>
    <n v="0"/>
    <n v="0"/>
    <n v="0"/>
    <n v="0"/>
    <n v="0"/>
    <n v="0"/>
    <m/>
    <n v="52.8"/>
  </r>
  <r>
    <s v="USR-100652"/>
    <d v="2025-03-04T00:00:00"/>
    <x v="0"/>
    <s v="West"/>
    <s v="Mobile"/>
    <s v="Email"/>
    <s v="Premium"/>
    <n v="1"/>
    <n v="0"/>
    <n v="0"/>
    <n v="0"/>
    <n v="0"/>
    <n v="0"/>
    <n v="0"/>
    <m/>
    <n v="52.9"/>
  </r>
  <r>
    <s v="USR-100653"/>
    <d v="2025-05-09T00:00:00"/>
    <x v="0"/>
    <s v="West"/>
    <s v="Mobile"/>
    <s v="Organic"/>
    <s v="Free"/>
    <n v="1"/>
    <n v="0"/>
    <n v="0"/>
    <n v="0"/>
    <n v="0"/>
    <n v="1"/>
    <n v="0"/>
    <m/>
    <n v="55.9"/>
  </r>
  <r>
    <s v="USR-100654"/>
    <d v="2025-05-17T00:00:00"/>
    <x v="0"/>
    <s v="West"/>
    <s v="Mobile"/>
    <s v="Referral"/>
    <s v="Premium"/>
    <n v="1"/>
    <n v="0"/>
    <n v="0"/>
    <n v="0"/>
    <n v="0"/>
    <n v="0"/>
    <n v="0"/>
    <m/>
    <n v="74.2"/>
  </r>
  <r>
    <s v="USR-100655"/>
    <d v="2025-01-12T00:00:00"/>
    <x v="0"/>
    <s v="West"/>
    <s v="Mobile"/>
    <s v="Organic"/>
    <s v="Free"/>
    <n v="0"/>
    <n v="0"/>
    <n v="0"/>
    <n v="0"/>
    <n v="0"/>
    <n v="0"/>
    <n v="0"/>
    <m/>
    <n v="46.3"/>
  </r>
  <r>
    <s v="USR-100656"/>
    <d v="2025-03-12T00:00:00"/>
    <x v="0"/>
    <s v="West"/>
    <s v="Mobile"/>
    <s v="Organic"/>
    <s v="Premium"/>
    <n v="1"/>
    <n v="0"/>
    <n v="0"/>
    <n v="0"/>
    <n v="0"/>
    <n v="0"/>
    <n v="0"/>
    <m/>
    <n v="62"/>
  </r>
  <r>
    <s v="USR-100657"/>
    <d v="2025-04-02T00:00:00"/>
    <x v="0"/>
    <s v="South"/>
    <s v="Mobile"/>
    <s v="Organic"/>
    <s v="Basic"/>
    <n v="0"/>
    <n v="0"/>
    <n v="0"/>
    <n v="0"/>
    <n v="0"/>
    <n v="0"/>
    <n v="0"/>
    <m/>
    <n v="55.6"/>
  </r>
  <r>
    <s v="USR-100658"/>
    <d v="2025-01-13T00:00:00"/>
    <x v="0"/>
    <s v="South"/>
    <s v="Mobile"/>
    <s v="Organic"/>
    <s v="Basic"/>
    <n v="1"/>
    <n v="0"/>
    <n v="0"/>
    <n v="0"/>
    <n v="0"/>
    <n v="0"/>
    <n v="0"/>
    <m/>
    <n v="62.8"/>
  </r>
  <r>
    <s v="USR-100659"/>
    <d v="2025-03-07T00:00:00"/>
    <x v="0"/>
    <s v="East"/>
    <s v="Mobile"/>
    <s v="Referral"/>
    <s v="Free"/>
    <n v="0"/>
    <n v="0"/>
    <n v="0"/>
    <n v="0"/>
    <n v="0"/>
    <n v="0"/>
    <n v="0"/>
    <m/>
    <n v="73.099999999999994"/>
  </r>
  <r>
    <s v="USR-100660"/>
    <d v="2025-04-20T00:00:00"/>
    <x v="0"/>
    <s v="South"/>
    <s v="Desktop"/>
    <s v="Social"/>
    <s v="Free"/>
    <n v="1"/>
    <n v="1"/>
    <n v="1"/>
    <n v="1"/>
    <n v="347.52"/>
    <n v="0"/>
    <n v="0"/>
    <n v="2"/>
    <n v="57.2"/>
  </r>
  <r>
    <s v="USR-100661"/>
    <d v="2025-01-07T00:00:00"/>
    <x v="0"/>
    <s v="South"/>
    <s v="Mobile"/>
    <s v="Paid Search"/>
    <s v="Free"/>
    <n v="1"/>
    <n v="0"/>
    <n v="0"/>
    <n v="0"/>
    <n v="0"/>
    <n v="0"/>
    <n v="0"/>
    <m/>
    <n v="67.900000000000006"/>
  </r>
  <r>
    <s v="USR-100662"/>
    <d v="2025-04-23T00:00:00"/>
    <x v="0"/>
    <s v="South"/>
    <s v="Mobile"/>
    <s v="Referral"/>
    <s v="Free"/>
    <n v="0"/>
    <n v="0"/>
    <n v="0"/>
    <n v="0"/>
    <n v="0"/>
    <n v="0"/>
    <n v="0"/>
    <m/>
    <n v="50.1"/>
  </r>
  <r>
    <s v="USR-100663"/>
    <d v="2025-05-26T00:00:00"/>
    <x v="0"/>
    <s v="North"/>
    <s v="Mobile"/>
    <s v="Paid Search"/>
    <s v="Basic"/>
    <n v="0"/>
    <n v="0"/>
    <n v="0"/>
    <n v="0"/>
    <n v="0"/>
    <n v="0"/>
    <n v="0"/>
    <m/>
    <n v="67.8"/>
  </r>
  <r>
    <s v="USR-100664"/>
    <d v="2025-03-17T00:00:00"/>
    <x v="0"/>
    <s v="North"/>
    <s v="Desktop"/>
    <s v="Social"/>
    <s v="Basic"/>
    <n v="1"/>
    <n v="1"/>
    <n v="1"/>
    <n v="0"/>
    <n v="0"/>
    <n v="0"/>
    <n v="0"/>
    <m/>
    <n v="60.8"/>
  </r>
  <r>
    <s v="USR-100665"/>
    <d v="2025-05-17T00:00:00"/>
    <x v="0"/>
    <s v="North"/>
    <s v="Desktop"/>
    <s v="Paid Search"/>
    <s v="Basic"/>
    <n v="1"/>
    <n v="0"/>
    <n v="0"/>
    <n v="0"/>
    <n v="0"/>
    <n v="3"/>
    <n v="0"/>
    <m/>
    <n v="33.700000000000003"/>
  </r>
  <r>
    <s v="USR-100666"/>
    <d v="2025-02-21T00:00:00"/>
    <x v="0"/>
    <s v="North"/>
    <s v="Mobile"/>
    <s v="Paid Search"/>
    <s v="Basic"/>
    <n v="0"/>
    <n v="0"/>
    <n v="0"/>
    <n v="0"/>
    <n v="0"/>
    <n v="0"/>
    <n v="0"/>
    <m/>
    <n v="45.2"/>
  </r>
  <r>
    <s v="USR-100667"/>
    <d v="2025-02-25T00:00:00"/>
    <x v="0"/>
    <s v="East"/>
    <s v="Desktop"/>
    <s v="Paid Search"/>
    <s v="Premium"/>
    <n v="0"/>
    <n v="0"/>
    <n v="0"/>
    <n v="0"/>
    <n v="0"/>
    <n v="0"/>
    <n v="0"/>
    <m/>
    <n v="48.2"/>
  </r>
  <r>
    <s v="USR-100668"/>
    <d v="2025-01-30T00:00:00"/>
    <x v="0"/>
    <s v="South"/>
    <s v="Mobile"/>
    <s v="Social"/>
    <s v="Free"/>
    <n v="1"/>
    <n v="1"/>
    <n v="0"/>
    <n v="0"/>
    <n v="0"/>
    <n v="1"/>
    <n v="0"/>
    <m/>
    <n v="44.8"/>
  </r>
  <r>
    <s v="USR-100669"/>
    <d v="2025-02-17T00:00:00"/>
    <x v="0"/>
    <s v="North"/>
    <s v="Tablet"/>
    <s v="Social"/>
    <s v="Basic"/>
    <n v="0"/>
    <n v="0"/>
    <n v="0"/>
    <n v="0"/>
    <n v="0"/>
    <n v="0"/>
    <n v="0"/>
    <m/>
    <n v="52.1"/>
  </r>
  <r>
    <s v="USR-100670"/>
    <d v="2025-05-17T00:00:00"/>
    <x v="0"/>
    <s v="North"/>
    <s v="Desktop"/>
    <s v="Paid Search"/>
    <s v="Basic"/>
    <n v="1"/>
    <n v="0"/>
    <n v="0"/>
    <n v="0"/>
    <n v="0"/>
    <n v="0"/>
    <n v="0"/>
    <m/>
    <n v="30.7"/>
  </r>
  <r>
    <s v="USR-100671"/>
    <d v="2025-04-30T00:00:00"/>
    <x v="0"/>
    <s v="East"/>
    <s v="Desktop"/>
    <s v="Paid Search"/>
    <s v="Free"/>
    <n v="1"/>
    <n v="0"/>
    <n v="0"/>
    <n v="0"/>
    <n v="0"/>
    <n v="0"/>
    <n v="0"/>
    <m/>
    <n v="58.4"/>
  </r>
  <r>
    <s v="USR-100672"/>
    <d v="2025-03-22T00:00:00"/>
    <x v="0"/>
    <s v="West"/>
    <s v="Mobile"/>
    <s v="Referral"/>
    <s v="Free"/>
    <n v="1"/>
    <n v="1"/>
    <n v="0"/>
    <n v="0"/>
    <n v="0"/>
    <n v="0"/>
    <n v="0"/>
    <m/>
    <n v="52.6"/>
  </r>
  <r>
    <s v="USR-100673"/>
    <d v="2025-01-10T00:00:00"/>
    <x v="0"/>
    <s v="West"/>
    <m/>
    <s v="Paid Search"/>
    <s v="Free"/>
    <n v="1"/>
    <n v="0"/>
    <n v="0"/>
    <n v="0"/>
    <n v="0"/>
    <n v="1"/>
    <n v="0"/>
    <m/>
    <n v="19.100000000000001"/>
  </r>
  <r>
    <s v="USR-100674"/>
    <d v="2025-03-21T00:00:00"/>
    <x v="0"/>
    <s v="South"/>
    <m/>
    <s v="Paid Search"/>
    <s v="Free"/>
    <n v="1"/>
    <n v="0"/>
    <n v="0"/>
    <n v="0"/>
    <n v="0"/>
    <n v="0"/>
    <n v="0"/>
    <m/>
    <n v="36.799999999999997"/>
  </r>
  <r>
    <s v="USR-100675"/>
    <d v="2025-05-12T00:00:00"/>
    <x v="0"/>
    <s v="North"/>
    <s v="Desktop"/>
    <s v="Paid Search"/>
    <s v="Basic"/>
    <n v="0"/>
    <n v="0"/>
    <n v="0"/>
    <n v="0"/>
    <n v="0"/>
    <n v="0"/>
    <n v="0"/>
    <m/>
    <n v="68.5"/>
  </r>
  <r>
    <s v="USR-100676"/>
    <d v="2025-05-24T00:00:00"/>
    <x v="0"/>
    <s v="West"/>
    <s v="Mobile"/>
    <s v="Paid Search"/>
    <s v="Free"/>
    <n v="1"/>
    <n v="1"/>
    <n v="1"/>
    <n v="0"/>
    <n v="0"/>
    <n v="0"/>
    <n v="0"/>
    <m/>
    <n v="40.1"/>
  </r>
  <r>
    <s v="USR-100677"/>
    <d v="2025-05-03T00:00:00"/>
    <x v="0"/>
    <s v="West"/>
    <s v="Tablet"/>
    <s v="Organic"/>
    <s v="Free"/>
    <n v="1"/>
    <n v="0"/>
    <n v="0"/>
    <n v="0"/>
    <n v="0"/>
    <n v="0"/>
    <n v="0"/>
    <m/>
    <n v="47.5"/>
  </r>
  <r>
    <s v="USR-100678"/>
    <d v="2025-01-14T00:00:00"/>
    <x v="0"/>
    <s v="South"/>
    <s v="Mobile"/>
    <s v="Organic"/>
    <s v="Basic"/>
    <n v="1"/>
    <n v="0"/>
    <n v="0"/>
    <n v="0"/>
    <n v="0"/>
    <n v="0"/>
    <n v="0"/>
    <m/>
    <n v="77.099999999999994"/>
  </r>
  <r>
    <s v="USR-100679"/>
    <d v="2025-03-27T00:00:00"/>
    <x v="0"/>
    <s v="West"/>
    <s v="Mobile"/>
    <s v="Social"/>
    <s v="Basic"/>
    <n v="1"/>
    <n v="0"/>
    <n v="0"/>
    <n v="0"/>
    <n v="0"/>
    <n v="0"/>
    <n v="0"/>
    <m/>
    <n v="75.900000000000006"/>
  </r>
  <r>
    <s v="USR-100680"/>
    <d v="2025-02-28T00:00:00"/>
    <x v="0"/>
    <s v="North"/>
    <s v="Desktop"/>
    <s v="Referral"/>
    <s v="Premium"/>
    <n v="0"/>
    <n v="0"/>
    <n v="0"/>
    <n v="0"/>
    <n v="0"/>
    <n v="1"/>
    <n v="0"/>
    <m/>
    <n v="52"/>
  </r>
  <r>
    <s v="USR-100681"/>
    <d v="2025-05-12T00:00:00"/>
    <x v="0"/>
    <s v="West"/>
    <s v="Desktop"/>
    <s v="Referral"/>
    <s v="Premium"/>
    <n v="1"/>
    <n v="1"/>
    <n v="1"/>
    <n v="0"/>
    <n v="0"/>
    <n v="0"/>
    <n v="0"/>
    <m/>
    <n v="64.900000000000006"/>
  </r>
  <r>
    <s v="USR-100682"/>
    <d v="2025-03-14T00:00:00"/>
    <x v="0"/>
    <s v="North"/>
    <s v="Mobile"/>
    <s v="Organic"/>
    <s v="Free"/>
    <n v="1"/>
    <n v="0"/>
    <n v="0"/>
    <n v="0"/>
    <n v="0"/>
    <n v="0"/>
    <n v="0"/>
    <m/>
    <n v="48.2"/>
  </r>
  <r>
    <s v="USR-100683"/>
    <d v="2025-05-20T00:00:00"/>
    <x v="0"/>
    <s v="East"/>
    <s v="Mobile"/>
    <s v="Organic"/>
    <s v="Basic"/>
    <n v="0"/>
    <n v="0"/>
    <n v="0"/>
    <n v="0"/>
    <n v="0"/>
    <n v="0"/>
    <n v="0"/>
    <m/>
    <n v="42.1"/>
  </r>
  <r>
    <s v="USR-100684"/>
    <d v="2025-02-24T00:00:00"/>
    <x v="0"/>
    <s v="South"/>
    <s v="Desktop"/>
    <s v="Referral"/>
    <s v="Free"/>
    <n v="0"/>
    <n v="0"/>
    <n v="0"/>
    <n v="0"/>
    <n v="0"/>
    <n v="0"/>
    <n v="0"/>
    <m/>
    <n v="27.6"/>
  </r>
  <r>
    <s v="USR-100685"/>
    <d v="2025-02-13T00:00:00"/>
    <x v="0"/>
    <s v="West"/>
    <s v="Mobile"/>
    <s v="Organic"/>
    <s v="Premium"/>
    <n v="1"/>
    <n v="0"/>
    <n v="0"/>
    <n v="0"/>
    <n v="0"/>
    <n v="1"/>
    <n v="0"/>
    <m/>
    <n v="68.5"/>
  </r>
  <r>
    <s v="USR-100686"/>
    <d v="2025-02-06T00:00:00"/>
    <x v="0"/>
    <s v="South"/>
    <s v="Desktop"/>
    <s v="Organic"/>
    <s v="Free"/>
    <n v="1"/>
    <n v="1"/>
    <n v="1"/>
    <n v="0"/>
    <n v="0"/>
    <n v="0"/>
    <n v="0"/>
    <m/>
    <n v="59.2"/>
  </r>
  <r>
    <s v="USR-100687"/>
    <d v="2025-03-02T00:00:00"/>
    <x v="0"/>
    <s v="North"/>
    <s v="Mobile"/>
    <s v="Social"/>
    <s v="Basic"/>
    <n v="1"/>
    <n v="0"/>
    <n v="0"/>
    <n v="0"/>
    <n v="0"/>
    <n v="0"/>
    <n v="0"/>
    <m/>
    <n v="63.3"/>
  </r>
  <r>
    <s v="USR-100688"/>
    <d v="2025-04-28T00:00:00"/>
    <x v="0"/>
    <s v="East"/>
    <s v="Desktop"/>
    <s v="Paid Search"/>
    <s v="Free"/>
    <n v="0"/>
    <n v="0"/>
    <n v="0"/>
    <n v="0"/>
    <n v="0"/>
    <n v="0"/>
    <n v="0"/>
    <m/>
    <n v="55"/>
  </r>
  <r>
    <s v="USR-100689"/>
    <d v="2025-05-27T00:00:00"/>
    <x v="0"/>
    <s v="North"/>
    <s v="Desktop"/>
    <m/>
    <s v="Premium"/>
    <n v="1"/>
    <n v="0"/>
    <n v="0"/>
    <n v="0"/>
    <n v="0"/>
    <n v="0"/>
    <n v="0"/>
    <m/>
    <n v="64.8"/>
  </r>
  <r>
    <s v="USR-100690"/>
    <d v="2025-04-07T00:00:00"/>
    <x v="0"/>
    <s v="South"/>
    <s v="Desktop"/>
    <s v="Organic"/>
    <s v="Basic"/>
    <n v="0"/>
    <n v="0"/>
    <n v="0"/>
    <n v="0"/>
    <n v="0"/>
    <n v="2"/>
    <n v="0"/>
    <m/>
    <n v="41.8"/>
  </r>
  <r>
    <s v="USR-100691"/>
    <d v="2025-04-14T00:00:00"/>
    <x v="1"/>
    <s v="East"/>
    <s v="Desktop"/>
    <s v="Social"/>
    <s v="Basic"/>
    <n v="1"/>
    <n v="0"/>
    <n v="0"/>
    <n v="0"/>
    <n v="0"/>
    <n v="0"/>
    <n v="0"/>
    <m/>
    <n v="73.2"/>
  </r>
  <r>
    <s v="USR-100692"/>
    <d v="2025-05-09T00:00:00"/>
    <x v="1"/>
    <s v="East"/>
    <s v="Desktop"/>
    <s v="Organic"/>
    <s v="Basic"/>
    <n v="1"/>
    <n v="1"/>
    <n v="1"/>
    <n v="0"/>
    <n v="0"/>
    <n v="3"/>
    <n v="0"/>
    <m/>
    <n v="55.7"/>
  </r>
  <r>
    <s v="USR-100693"/>
    <d v="2025-03-21T00:00:00"/>
    <x v="1"/>
    <s v="North"/>
    <s v="Mobile"/>
    <s v="Organic"/>
    <s v="Free"/>
    <n v="1"/>
    <n v="1"/>
    <n v="1"/>
    <n v="0"/>
    <n v="0"/>
    <n v="0"/>
    <n v="0"/>
    <m/>
    <n v="82.8"/>
  </r>
  <r>
    <s v="USR-100694"/>
    <d v="2025-03-27T00:00:00"/>
    <x v="1"/>
    <s v="North"/>
    <s v="Desktop"/>
    <s v="Social"/>
    <s v="Free"/>
    <n v="1"/>
    <n v="0"/>
    <n v="0"/>
    <n v="0"/>
    <n v="0"/>
    <n v="0"/>
    <n v="0"/>
    <m/>
    <m/>
  </r>
  <r>
    <s v="USR-100695"/>
    <d v="2025-01-21T00:00:00"/>
    <x v="1"/>
    <s v="South"/>
    <s v="Mobile"/>
    <s v="Paid Search"/>
    <s v="Free"/>
    <n v="0"/>
    <n v="0"/>
    <n v="0"/>
    <n v="0"/>
    <n v="0"/>
    <n v="0"/>
    <n v="0"/>
    <m/>
    <n v="34.4"/>
  </r>
  <r>
    <s v="USR-100696"/>
    <d v="2025-03-19T00:00:00"/>
    <x v="1"/>
    <s v="East"/>
    <s v="Desktop"/>
    <s v="Email"/>
    <s v="Free"/>
    <n v="1"/>
    <n v="0"/>
    <n v="0"/>
    <n v="0"/>
    <n v="0"/>
    <n v="0"/>
    <n v="0"/>
    <m/>
    <n v="45.2"/>
  </r>
  <r>
    <s v="USR-100697"/>
    <d v="2025-05-27T00:00:00"/>
    <x v="1"/>
    <s v="North"/>
    <s v="Mobile"/>
    <s v="Organic"/>
    <s v="Basic"/>
    <n v="1"/>
    <n v="0"/>
    <n v="0"/>
    <n v="0"/>
    <n v="0"/>
    <n v="0"/>
    <n v="0"/>
    <m/>
    <n v="71.599999999999994"/>
  </r>
  <r>
    <s v="USR-100698"/>
    <d v="2025-01-01T00:00:00"/>
    <x v="1"/>
    <s v="North"/>
    <s v="Mobile"/>
    <s v="Social"/>
    <s v="Free"/>
    <n v="1"/>
    <n v="1"/>
    <n v="1"/>
    <n v="0"/>
    <n v="0"/>
    <n v="0"/>
    <n v="0"/>
    <m/>
    <n v="69.099999999999994"/>
  </r>
  <r>
    <s v="USR-100699"/>
    <d v="2025-03-29T00:00:00"/>
    <x v="1"/>
    <s v="West"/>
    <s v="Desktop"/>
    <s v="Paid Search"/>
    <s v="Premium"/>
    <n v="1"/>
    <n v="0"/>
    <n v="0"/>
    <n v="0"/>
    <n v="0"/>
    <n v="1"/>
    <n v="0"/>
    <m/>
    <n v="37.700000000000003"/>
  </r>
  <r>
    <s v="USR-100700"/>
    <d v="2025-03-17T00:00:00"/>
    <x v="1"/>
    <s v="West"/>
    <s v="Desktop"/>
    <s v="Organic"/>
    <s v="Basic"/>
    <n v="1"/>
    <n v="0"/>
    <n v="0"/>
    <n v="0"/>
    <n v="0"/>
    <n v="1"/>
    <n v="0"/>
    <m/>
    <n v="60.8"/>
  </r>
  <r>
    <s v="USR-100701"/>
    <d v="2025-05-05T00:00:00"/>
    <x v="1"/>
    <s v="North"/>
    <s v="Mobile"/>
    <s v="Organic"/>
    <s v="Free"/>
    <n v="1"/>
    <n v="1"/>
    <n v="1"/>
    <n v="1"/>
    <n v="444.13"/>
    <n v="0"/>
    <n v="0"/>
    <n v="10"/>
    <n v="80.7"/>
  </r>
  <r>
    <s v="USR-100702"/>
    <d v="2025-05-04T00:00:00"/>
    <x v="1"/>
    <s v="South"/>
    <s v="Mobile"/>
    <s v="Social"/>
    <s v="Free"/>
    <n v="1"/>
    <n v="0"/>
    <n v="0"/>
    <n v="0"/>
    <n v="0"/>
    <n v="0"/>
    <n v="0"/>
    <m/>
    <n v="69.2"/>
  </r>
  <r>
    <s v="USR-100703"/>
    <d v="2025-03-25T00:00:00"/>
    <x v="1"/>
    <s v="North"/>
    <s v="Mobile"/>
    <s v="Social"/>
    <s v="Premium"/>
    <n v="0"/>
    <n v="0"/>
    <n v="0"/>
    <n v="0"/>
    <n v="0"/>
    <n v="3"/>
    <n v="0"/>
    <m/>
    <n v="55"/>
  </r>
  <r>
    <s v="USR-100704"/>
    <d v="2025-04-17T00:00:00"/>
    <x v="1"/>
    <s v="West"/>
    <s v="Mobile"/>
    <s v="Email"/>
    <s v="Free"/>
    <n v="0"/>
    <n v="0"/>
    <n v="0"/>
    <n v="0"/>
    <n v="0"/>
    <n v="1"/>
    <n v="0"/>
    <m/>
    <n v="73.599999999999994"/>
  </r>
  <r>
    <s v="USR-100705"/>
    <d v="2025-05-23T00:00:00"/>
    <x v="1"/>
    <s v="South"/>
    <s v="Mobile"/>
    <s v="Referral"/>
    <s v="Basic"/>
    <n v="1"/>
    <n v="1"/>
    <n v="1"/>
    <n v="0"/>
    <n v="0"/>
    <n v="1"/>
    <n v="0"/>
    <m/>
    <n v="47.3"/>
  </r>
  <r>
    <s v="USR-100706"/>
    <d v="2025-01-13T00:00:00"/>
    <x v="1"/>
    <s v="North"/>
    <s v="Mobile"/>
    <s v="Organic"/>
    <s v="Basic"/>
    <n v="0"/>
    <n v="0"/>
    <n v="0"/>
    <n v="0"/>
    <n v="0"/>
    <n v="0"/>
    <n v="0"/>
    <m/>
    <n v="43.6"/>
  </r>
  <r>
    <s v="USR-100707"/>
    <d v="2025-01-29T00:00:00"/>
    <x v="1"/>
    <s v="North"/>
    <s v="Desktop"/>
    <s v="Organic"/>
    <s v="Basic"/>
    <n v="1"/>
    <n v="0"/>
    <n v="0"/>
    <n v="0"/>
    <n v="0"/>
    <n v="0"/>
    <n v="0"/>
    <m/>
    <m/>
  </r>
  <r>
    <s v="USR-100708"/>
    <d v="2025-05-11T00:00:00"/>
    <x v="1"/>
    <s v="South"/>
    <s v="Mobile"/>
    <s v="Email"/>
    <s v="Free"/>
    <n v="0"/>
    <n v="0"/>
    <n v="0"/>
    <n v="0"/>
    <n v="0"/>
    <n v="0"/>
    <n v="0"/>
    <m/>
    <n v="55.2"/>
  </r>
  <r>
    <s v="USR-100709"/>
    <d v="2025-04-22T00:00:00"/>
    <x v="1"/>
    <s v="South"/>
    <s v="Mobile"/>
    <s v="Organic"/>
    <s v="Basic"/>
    <n v="1"/>
    <n v="0"/>
    <n v="0"/>
    <n v="0"/>
    <n v="0"/>
    <n v="0"/>
    <n v="0"/>
    <m/>
    <n v="49.4"/>
  </r>
  <r>
    <s v="USR-100710"/>
    <d v="2025-03-03T00:00:00"/>
    <x v="1"/>
    <s v="South"/>
    <s v="Mobile"/>
    <s v="Social"/>
    <s v="Free"/>
    <n v="1"/>
    <n v="1"/>
    <n v="1"/>
    <n v="0"/>
    <n v="0"/>
    <n v="1"/>
    <n v="0"/>
    <m/>
    <n v="60.1"/>
  </r>
  <r>
    <s v="USR-100711"/>
    <d v="2025-03-18T00:00:00"/>
    <x v="1"/>
    <s v="North"/>
    <s v="Mobile"/>
    <s v="Referral"/>
    <s v="Free"/>
    <n v="1"/>
    <n v="0"/>
    <n v="0"/>
    <n v="0"/>
    <n v="0"/>
    <n v="0"/>
    <n v="0"/>
    <m/>
    <n v="55.9"/>
  </r>
  <r>
    <s v="USR-100712"/>
    <d v="2025-04-05T00:00:00"/>
    <x v="1"/>
    <s v="North"/>
    <s v="Mobile"/>
    <s v="Organic"/>
    <s v="Basic"/>
    <n v="1"/>
    <n v="0"/>
    <n v="0"/>
    <n v="0"/>
    <n v="0"/>
    <n v="0"/>
    <n v="0"/>
    <m/>
    <n v="51.5"/>
  </r>
  <r>
    <s v="USR-100713"/>
    <d v="2025-04-16T00:00:00"/>
    <x v="1"/>
    <s v="East"/>
    <s v="Mobile"/>
    <s v="Organic"/>
    <s v="Free"/>
    <n v="1"/>
    <n v="1"/>
    <n v="1"/>
    <n v="1"/>
    <n v="516.66999999999996"/>
    <n v="0"/>
    <n v="0"/>
    <n v="11"/>
    <n v="57.9"/>
  </r>
  <r>
    <s v="USR-100714"/>
    <d v="2025-04-20T00:00:00"/>
    <x v="1"/>
    <s v="South"/>
    <s v="Mobile"/>
    <s v="Referral"/>
    <s v="Free"/>
    <n v="1"/>
    <n v="1"/>
    <n v="1"/>
    <n v="1"/>
    <n v="277.18"/>
    <n v="2"/>
    <n v="0"/>
    <n v="8"/>
    <n v="59.2"/>
  </r>
  <r>
    <s v="USR-100715"/>
    <d v="2025-02-15T00:00:00"/>
    <x v="1"/>
    <s v="South"/>
    <s v="Mobile"/>
    <s v="Organic"/>
    <s v="Free"/>
    <n v="0"/>
    <n v="0"/>
    <n v="0"/>
    <n v="0"/>
    <n v="0"/>
    <n v="0"/>
    <n v="0"/>
    <m/>
    <n v="64.2"/>
  </r>
  <r>
    <s v="USR-100716"/>
    <d v="2025-01-21T00:00:00"/>
    <x v="1"/>
    <s v="South"/>
    <s v="Mobile"/>
    <s v="Organic"/>
    <s v="Free"/>
    <n v="1"/>
    <n v="0"/>
    <n v="0"/>
    <n v="0"/>
    <n v="0"/>
    <n v="0"/>
    <n v="0"/>
    <m/>
    <n v="68.8"/>
  </r>
  <r>
    <s v="USR-100717"/>
    <d v="2025-05-23T00:00:00"/>
    <x v="1"/>
    <s v="North"/>
    <s v="Mobile"/>
    <s v="Paid Search"/>
    <s v="Premium"/>
    <n v="1"/>
    <n v="1"/>
    <n v="1"/>
    <n v="0"/>
    <n v="0"/>
    <n v="0"/>
    <n v="0"/>
    <m/>
    <n v="77.900000000000006"/>
  </r>
  <r>
    <s v="USR-100718"/>
    <d v="2025-01-22T00:00:00"/>
    <x v="1"/>
    <s v="West"/>
    <s v="Mobile"/>
    <s v="Paid Search"/>
    <s v="Basic"/>
    <n v="0"/>
    <n v="0"/>
    <n v="0"/>
    <n v="0"/>
    <n v="0"/>
    <n v="0"/>
    <n v="0"/>
    <m/>
    <n v="92.1"/>
  </r>
  <r>
    <s v="USR-100719"/>
    <d v="2025-04-24T00:00:00"/>
    <x v="1"/>
    <s v="West"/>
    <s v="Mobile"/>
    <s v="Paid Search"/>
    <s v="Premium"/>
    <n v="0"/>
    <n v="0"/>
    <n v="0"/>
    <n v="0"/>
    <n v="0"/>
    <n v="0"/>
    <n v="0"/>
    <m/>
    <n v="63.6"/>
  </r>
  <r>
    <s v="USR-100720"/>
    <d v="2025-01-17T00:00:00"/>
    <x v="1"/>
    <s v="West"/>
    <s v="Desktop"/>
    <s v="Email"/>
    <s v="Free"/>
    <n v="0"/>
    <n v="0"/>
    <n v="0"/>
    <n v="0"/>
    <n v="0"/>
    <n v="2"/>
    <n v="0"/>
    <m/>
    <n v="61.6"/>
  </r>
  <r>
    <s v="USR-100721"/>
    <d v="2025-01-22T00:00:00"/>
    <x v="1"/>
    <s v="East"/>
    <s v="Mobile"/>
    <s v="Referral"/>
    <s v="Basic"/>
    <n v="1"/>
    <n v="1"/>
    <n v="0"/>
    <n v="0"/>
    <n v="0"/>
    <n v="0"/>
    <n v="0"/>
    <m/>
    <n v="82.3"/>
  </r>
  <r>
    <s v="USR-100722"/>
    <d v="2025-05-04T00:00:00"/>
    <x v="1"/>
    <s v="East"/>
    <s v="Desktop"/>
    <s v="Paid Search"/>
    <s v="Free"/>
    <n v="1"/>
    <n v="0"/>
    <n v="0"/>
    <n v="0"/>
    <n v="0"/>
    <n v="0"/>
    <n v="0"/>
    <m/>
    <n v="79.3"/>
  </r>
  <r>
    <s v="USR-100723"/>
    <d v="2025-03-13T00:00:00"/>
    <x v="1"/>
    <s v="South"/>
    <s v="Mobile"/>
    <m/>
    <s v="Free"/>
    <n v="0"/>
    <n v="0"/>
    <n v="0"/>
    <n v="0"/>
    <n v="0"/>
    <n v="0"/>
    <n v="0"/>
    <m/>
    <n v="57.7"/>
  </r>
  <r>
    <s v="USR-100724"/>
    <d v="2025-01-02T00:00:00"/>
    <x v="1"/>
    <s v="North"/>
    <s v="Mobile"/>
    <s v="Organic"/>
    <s v="Basic"/>
    <n v="1"/>
    <n v="0"/>
    <n v="0"/>
    <n v="0"/>
    <n v="0"/>
    <n v="0"/>
    <n v="0"/>
    <m/>
    <n v="63.1"/>
  </r>
  <r>
    <s v="USR-100725"/>
    <d v="2025-01-13T00:00:00"/>
    <x v="1"/>
    <s v="East"/>
    <s v="Mobile"/>
    <s v="Paid Search"/>
    <s v="Basic"/>
    <n v="0"/>
    <n v="0"/>
    <n v="0"/>
    <n v="0"/>
    <n v="0"/>
    <n v="0"/>
    <n v="0"/>
    <m/>
    <n v="72.3"/>
  </r>
  <r>
    <s v="USR-100726"/>
    <d v="2025-02-09T00:00:00"/>
    <x v="1"/>
    <s v="East"/>
    <s v="Mobile"/>
    <s v="Social"/>
    <s v="Free"/>
    <n v="1"/>
    <n v="1"/>
    <n v="1"/>
    <n v="0"/>
    <n v="0"/>
    <n v="0"/>
    <n v="0"/>
    <m/>
    <n v="78"/>
  </r>
  <r>
    <s v="USR-100727"/>
    <d v="2025-04-09T00:00:00"/>
    <x v="1"/>
    <s v="East"/>
    <s v="Desktop"/>
    <s v="Social"/>
    <s v="Free"/>
    <n v="1"/>
    <n v="1"/>
    <n v="0"/>
    <n v="0"/>
    <n v="0"/>
    <n v="2"/>
    <n v="0"/>
    <m/>
    <n v="59.1"/>
  </r>
  <r>
    <s v="USR-100728"/>
    <d v="2025-01-02T00:00:00"/>
    <x v="1"/>
    <s v="South"/>
    <s v="Mobile"/>
    <s v="Paid Search"/>
    <s v="Free"/>
    <n v="1"/>
    <n v="1"/>
    <n v="1"/>
    <n v="1"/>
    <n v="604.09"/>
    <n v="0"/>
    <n v="0"/>
    <n v="7"/>
    <n v="47.1"/>
  </r>
  <r>
    <s v="USR-100729"/>
    <d v="2025-02-04T00:00:00"/>
    <x v="1"/>
    <s v="South"/>
    <s v="Mobile"/>
    <m/>
    <s v="Premium"/>
    <n v="1"/>
    <n v="0"/>
    <n v="0"/>
    <n v="0"/>
    <n v="0"/>
    <n v="0"/>
    <n v="0"/>
    <m/>
    <n v="64.900000000000006"/>
  </r>
  <r>
    <s v="USR-100730"/>
    <d v="2025-02-19T00:00:00"/>
    <x v="1"/>
    <s v="South"/>
    <s v="Tablet"/>
    <s v="Paid Search"/>
    <s v="Free"/>
    <n v="0"/>
    <n v="0"/>
    <n v="0"/>
    <n v="0"/>
    <n v="0"/>
    <n v="0"/>
    <n v="0"/>
    <m/>
    <n v="67.3"/>
  </r>
  <r>
    <s v="USR-100731"/>
    <d v="2025-04-01T00:00:00"/>
    <x v="1"/>
    <s v="East"/>
    <s v="Mobile"/>
    <s v="Paid Search"/>
    <s v="Basic"/>
    <n v="1"/>
    <n v="0"/>
    <n v="0"/>
    <n v="0"/>
    <n v="0"/>
    <n v="2"/>
    <n v="0"/>
    <m/>
    <n v="52.9"/>
  </r>
  <r>
    <s v="USR-100732"/>
    <d v="2025-01-29T00:00:00"/>
    <x v="1"/>
    <s v="North"/>
    <s v="Mobile"/>
    <s v="Referral"/>
    <s v="Free"/>
    <n v="1"/>
    <n v="1"/>
    <n v="1"/>
    <n v="1"/>
    <n v="442.37"/>
    <n v="1"/>
    <n v="0"/>
    <n v="4"/>
    <n v="69.900000000000006"/>
  </r>
  <r>
    <s v="USR-100733"/>
    <d v="2025-05-18T00:00:00"/>
    <x v="1"/>
    <s v="North"/>
    <s v="Mobile"/>
    <s v="Referral"/>
    <s v="Basic"/>
    <n v="1"/>
    <n v="1"/>
    <n v="1"/>
    <n v="0"/>
    <n v="0"/>
    <n v="0"/>
    <n v="0"/>
    <m/>
    <n v="78.900000000000006"/>
  </r>
  <r>
    <s v="USR-100734"/>
    <d v="2025-04-15T00:00:00"/>
    <x v="1"/>
    <s v="East"/>
    <s v="Desktop"/>
    <s v="Social"/>
    <s v="Premium"/>
    <n v="1"/>
    <n v="1"/>
    <n v="0"/>
    <n v="0"/>
    <n v="0"/>
    <n v="0"/>
    <n v="0"/>
    <m/>
    <n v="83.3"/>
  </r>
  <r>
    <s v="USR-100735"/>
    <d v="2025-03-28T00:00:00"/>
    <x v="1"/>
    <s v="East"/>
    <s v="Desktop"/>
    <s v="Email"/>
    <s v="Free"/>
    <n v="1"/>
    <n v="0"/>
    <n v="0"/>
    <n v="0"/>
    <n v="0"/>
    <n v="1"/>
    <n v="0"/>
    <m/>
    <n v="24.5"/>
  </r>
  <r>
    <s v="USR-100736"/>
    <d v="2025-04-01T00:00:00"/>
    <x v="1"/>
    <s v="West"/>
    <s v="Mobile"/>
    <s v="Paid Search"/>
    <s v="Basic"/>
    <n v="1"/>
    <n v="1"/>
    <n v="0"/>
    <n v="0"/>
    <n v="0"/>
    <n v="1"/>
    <n v="0"/>
    <m/>
    <n v="56.9"/>
  </r>
  <r>
    <s v="USR-100737"/>
    <d v="2025-02-11T00:00:00"/>
    <x v="1"/>
    <s v="West"/>
    <s v="Mobile"/>
    <s v="Social"/>
    <s v="Basic"/>
    <n v="1"/>
    <n v="0"/>
    <n v="0"/>
    <n v="0"/>
    <n v="0"/>
    <n v="0"/>
    <n v="0"/>
    <m/>
    <n v="69.900000000000006"/>
  </r>
  <r>
    <s v="USR-100738"/>
    <d v="2025-03-04T00:00:00"/>
    <x v="1"/>
    <s v="South"/>
    <s v="Mobile"/>
    <s v="Organic"/>
    <s v="Free"/>
    <n v="1"/>
    <n v="1"/>
    <n v="1"/>
    <n v="0"/>
    <n v="0"/>
    <n v="0"/>
    <n v="0"/>
    <m/>
    <n v="81.5"/>
  </r>
  <r>
    <s v="USR-100739"/>
    <d v="2025-01-21T00:00:00"/>
    <x v="1"/>
    <s v="North"/>
    <s v="Tablet"/>
    <s v="Social"/>
    <s v="Basic"/>
    <n v="0"/>
    <n v="0"/>
    <n v="0"/>
    <n v="0"/>
    <n v="0"/>
    <n v="2"/>
    <n v="0"/>
    <m/>
    <n v="37.9"/>
  </r>
  <r>
    <s v="USR-100740"/>
    <d v="2025-02-14T00:00:00"/>
    <x v="1"/>
    <s v="North"/>
    <s v="Mobile"/>
    <s v="Referral"/>
    <s v="Free"/>
    <n v="0"/>
    <n v="0"/>
    <n v="0"/>
    <n v="0"/>
    <n v="0"/>
    <n v="1"/>
    <n v="0"/>
    <m/>
    <n v="61.7"/>
  </r>
  <r>
    <s v="USR-100741"/>
    <d v="2025-03-30T00:00:00"/>
    <x v="1"/>
    <s v="North"/>
    <s v="Desktop"/>
    <m/>
    <s v="Premium"/>
    <n v="1"/>
    <n v="0"/>
    <n v="0"/>
    <n v="0"/>
    <n v="0"/>
    <n v="2"/>
    <n v="0"/>
    <m/>
    <n v="53.2"/>
  </r>
  <r>
    <s v="USR-100742"/>
    <d v="2025-01-08T00:00:00"/>
    <x v="1"/>
    <s v="North"/>
    <s v="Mobile"/>
    <s v="Referral"/>
    <s v="Free"/>
    <n v="0"/>
    <n v="0"/>
    <n v="0"/>
    <n v="0"/>
    <n v="0"/>
    <n v="0"/>
    <n v="0"/>
    <m/>
    <n v="61.9"/>
  </r>
  <r>
    <s v="USR-100743"/>
    <d v="2025-02-07T00:00:00"/>
    <x v="1"/>
    <s v="North"/>
    <s v="Mobile"/>
    <s v="Social"/>
    <s v="Free"/>
    <n v="1"/>
    <n v="1"/>
    <n v="1"/>
    <n v="0"/>
    <n v="0"/>
    <n v="0"/>
    <n v="0"/>
    <m/>
    <n v="68.900000000000006"/>
  </r>
  <r>
    <s v="USR-100744"/>
    <d v="2025-02-01T00:00:00"/>
    <x v="1"/>
    <s v="North"/>
    <s v="Tablet"/>
    <s v="Paid Search"/>
    <s v="Basic"/>
    <n v="0"/>
    <n v="0"/>
    <n v="0"/>
    <n v="0"/>
    <n v="0"/>
    <n v="0"/>
    <n v="0"/>
    <m/>
    <n v="66.3"/>
  </r>
  <r>
    <s v="USR-100745"/>
    <d v="2025-01-04T00:00:00"/>
    <x v="1"/>
    <s v="East"/>
    <s v="Mobile"/>
    <s v="Email"/>
    <s v="Free"/>
    <n v="1"/>
    <n v="1"/>
    <n v="1"/>
    <n v="0"/>
    <n v="0"/>
    <n v="0"/>
    <n v="0"/>
    <m/>
    <n v="54.6"/>
  </r>
  <r>
    <s v="USR-100746"/>
    <d v="2025-05-16T00:00:00"/>
    <x v="1"/>
    <s v="South"/>
    <s v="Desktop"/>
    <s v="Referral"/>
    <s v="Free"/>
    <n v="0"/>
    <n v="0"/>
    <n v="0"/>
    <n v="0"/>
    <n v="0"/>
    <n v="0"/>
    <n v="0"/>
    <m/>
    <n v="53.8"/>
  </r>
  <r>
    <s v="USR-100747"/>
    <d v="2025-02-28T00:00:00"/>
    <x v="1"/>
    <s v="West"/>
    <s v="Mobile"/>
    <s v="Referral"/>
    <s v="Free"/>
    <n v="1"/>
    <n v="0"/>
    <n v="0"/>
    <n v="0"/>
    <n v="0"/>
    <n v="0"/>
    <n v="0"/>
    <m/>
    <n v="59.5"/>
  </r>
  <r>
    <s v="USR-100748"/>
    <d v="2025-04-12T00:00:00"/>
    <x v="1"/>
    <s v="North"/>
    <s v="Mobile"/>
    <s v="Referral"/>
    <s v="Free"/>
    <n v="1"/>
    <n v="0"/>
    <n v="0"/>
    <n v="0"/>
    <n v="0"/>
    <n v="0"/>
    <n v="0"/>
    <m/>
    <n v="52.6"/>
  </r>
  <r>
    <s v="USR-100749"/>
    <d v="2025-03-23T00:00:00"/>
    <x v="1"/>
    <s v="South"/>
    <s v="Desktop"/>
    <s v="Organic"/>
    <s v="Free"/>
    <n v="0"/>
    <n v="0"/>
    <n v="0"/>
    <n v="0"/>
    <n v="0"/>
    <n v="0"/>
    <n v="0"/>
    <m/>
    <n v="49"/>
  </r>
  <r>
    <s v="USR-100750"/>
    <d v="2025-05-29T00:00:00"/>
    <x v="1"/>
    <s v="North"/>
    <s v="Tablet"/>
    <s v="Organic"/>
    <s v="Free"/>
    <n v="1"/>
    <n v="0"/>
    <n v="0"/>
    <n v="0"/>
    <n v="0"/>
    <n v="0"/>
    <n v="0"/>
    <m/>
    <n v="59.3"/>
  </r>
  <r>
    <s v="USR-100751"/>
    <d v="2025-05-21T00:00:00"/>
    <x v="1"/>
    <s v="South"/>
    <s v="Desktop"/>
    <s v="Organic"/>
    <s v="Basic"/>
    <n v="0"/>
    <n v="0"/>
    <n v="0"/>
    <n v="0"/>
    <n v="0"/>
    <n v="0"/>
    <n v="0"/>
    <m/>
    <n v="67.2"/>
  </r>
  <r>
    <s v="USR-100752"/>
    <d v="2025-01-05T00:00:00"/>
    <x v="1"/>
    <s v="South"/>
    <s v="Mobile"/>
    <s v="Referral"/>
    <s v="Premium"/>
    <n v="0"/>
    <n v="0"/>
    <n v="0"/>
    <n v="0"/>
    <n v="0"/>
    <n v="0"/>
    <n v="0"/>
    <m/>
    <n v="73.5"/>
  </r>
  <r>
    <s v="USR-100753"/>
    <d v="2025-03-19T00:00:00"/>
    <x v="1"/>
    <s v="East"/>
    <s v="Tablet"/>
    <s v="Organic"/>
    <s v="Free"/>
    <n v="1"/>
    <n v="0"/>
    <n v="0"/>
    <n v="0"/>
    <n v="0"/>
    <n v="0"/>
    <n v="0"/>
    <m/>
    <n v="61.2"/>
  </r>
  <r>
    <s v="USR-100754"/>
    <d v="2025-04-24T00:00:00"/>
    <x v="1"/>
    <s v="East"/>
    <s v="Mobile"/>
    <s v="Organic"/>
    <s v="Free"/>
    <n v="1"/>
    <n v="0"/>
    <n v="0"/>
    <n v="0"/>
    <n v="0"/>
    <n v="1"/>
    <n v="0"/>
    <m/>
    <n v="56.4"/>
  </r>
  <r>
    <s v="USR-100755"/>
    <d v="2025-03-10T00:00:00"/>
    <x v="1"/>
    <s v="North"/>
    <s v="Tablet"/>
    <s v="Organic"/>
    <s v="Free"/>
    <n v="0"/>
    <n v="0"/>
    <n v="0"/>
    <n v="0"/>
    <n v="0"/>
    <n v="3"/>
    <n v="0"/>
    <m/>
    <n v="72.599999999999994"/>
  </r>
  <r>
    <s v="USR-100756"/>
    <d v="2025-02-22T00:00:00"/>
    <x v="1"/>
    <s v="South"/>
    <s v="Tablet"/>
    <s v="Referral"/>
    <s v="Basic"/>
    <n v="1"/>
    <n v="0"/>
    <n v="0"/>
    <n v="0"/>
    <n v="0"/>
    <n v="0"/>
    <n v="0"/>
    <m/>
    <n v="61.7"/>
  </r>
  <r>
    <s v="USR-100757"/>
    <d v="2025-05-17T00:00:00"/>
    <x v="1"/>
    <s v="East"/>
    <s v="Mobile"/>
    <s v="Social"/>
    <s v="Free"/>
    <n v="0"/>
    <n v="0"/>
    <n v="0"/>
    <n v="0"/>
    <n v="0"/>
    <n v="1"/>
    <n v="0"/>
    <m/>
    <n v="66.900000000000006"/>
  </r>
  <r>
    <s v="USR-100758"/>
    <d v="2025-05-09T00:00:00"/>
    <x v="1"/>
    <s v="East"/>
    <s v="Tablet"/>
    <s v="Referral"/>
    <s v="Premium"/>
    <n v="1"/>
    <n v="1"/>
    <n v="1"/>
    <n v="1"/>
    <n v="1506.24"/>
    <n v="1"/>
    <n v="0"/>
    <n v="7"/>
    <n v="64.900000000000006"/>
  </r>
  <r>
    <s v="USR-100759"/>
    <d v="2025-04-26T00:00:00"/>
    <x v="1"/>
    <s v="East"/>
    <s v="Tablet"/>
    <s v="Organic"/>
    <s v="Premium"/>
    <n v="1"/>
    <n v="0"/>
    <n v="0"/>
    <n v="0"/>
    <n v="0"/>
    <n v="0"/>
    <n v="0"/>
    <m/>
    <n v="57.5"/>
  </r>
  <r>
    <s v="USR-100760"/>
    <d v="2025-03-15T00:00:00"/>
    <x v="1"/>
    <s v="West"/>
    <s v="Desktop"/>
    <s v="Social"/>
    <s v="Free"/>
    <n v="1"/>
    <n v="1"/>
    <n v="1"/>
    <n v="0"/>
    <n v="0"/>
    <n v="0"/>
    <n v="0"/>
    <m/>
    <n v="76.3"/>
  </r>
  <r>
    <s v="USR-100761"/>
    <d v="2025-04-03T00:00:00"/>
    <x v="1"/>
    <s v="North"/>
    <s v="Mobile"/>
    <s v="Paid Search"/>
    <s v="Free"/>
    <n v="0"/>
    <n v="0"/>
    <n v="0"/>
    <n v="0"/>
    <n v="0"/>
    <n v="0"/>
    <n v="0"/>
    <m/>
    <n v="47.5"/>
  </r>
  <r>
    <s v="USR-100762"/>
    <d v="2025-03-26T00:00:00"/>
    <x v="1"/>
    <s v="South"/>
    <s v="Mobile"/>
    <s v="Paid Search"/>
    <s v="Free"/>
    <n v="0"/>
    <n v="0"/>
    <n v="0"/>
    <n v="0"/>
    <n v="0"/>
    <n v="0"/>
    <n v="0"/>
    <m/>
    <m/>
  </r>
  <r>
    <s v="USR-100763"/>
    <d v="2025-02-05T00:00:00"/>
    <x v="1"/>
    <s v="West"/>
    <s v="Desktop"/>
    <s v="Organic"/>
    <s v="Basic"/>
    <n v="1"/>
    <n v="1"/>
    <n v="0"/>
    <n v="0"/>
    <n v="0"/>
    <n v="2"/>
    <n v="0"/>
    <m/>
    <n v="71.599999999999994"/>
  </r>
  <r>
    <s v="USR-100764"/>
    <d v="2025-05-08T00:00:00"/>
    <x v="1"/>
    <s v="South"/>
    <s v="Mobile"/>
    <s v="Social"/>
    <s v="Basic"/>
    <n v="1"/>
    <n v="1"/>
    <n v="0"/>
    <n v="0"/>
    <n v="0"/>
    <n v="0"/>
    <n v="0"/>
    <m/>
    <n v="55.8"/>
  </r>
  <r>
    <s v="USR-100765"/>
    <d v="2025-03-25T00:00:00"/>
    <x v="1"/>
    <s v="South"/>
    <s v="Desktop"/>
    <s v="Organic"/>
    <s v="Basic"/>
    <n v="0"/>
    <n v="0"/>
    <n v="0"/>
    <n v="0"/>
    <n v="0"/>
    <n v="1"/>
    <n v="0"/>
    <m/>
    <n v="60.1"/>
  </r>
  <r>
    <s v="USR-100766"/>
    <d v="2025-01-14T00:00:00"/>
    <x v="1"/>
    <s v="West"/>
    <m/>
    <s v="Email"/>
    <s v="Basic"/>
    <n v="1"/>
    <n v="1"/>
    <n v="1"/>
    <n v="0"/>
    <n v="0"/>
    <n v="1"/>
    <n v="0"/>
    <m/>
    <n v="59.3"/>
  </r>
  <r>
    <s v="USR-100767"/>
    <d v="2025-03-26T00:00:00"/>
    <x v="1"/>
    <s v="North"/>
    <s v="Mobile"/>
    <s v="Organic"/>
    <s v="Free"/>
    <n v="1"/>
    <n v="1"/>
    <n v="0"/>
    <n v="0"/>
    <n v="0"/>
    <n v="2"/>
    <n v="0"/>
    <m/>
    <n v="49.3"/>
  </r>
  <r>
    <s v="USR-100768"/>
    <d v="2025-01-16T00:00:00"/>
    <x v="1"/>
    <s v="East"/>
    <s v="Mobile"/>
    <s v="Referral"/>
    <s v="Free"/>
    <n v="1"/>
    <n v="0"/>
    <n v="0"/>
    <n v="0"/>
    <n v="0"/>
    <n v="0"/>
    <n v="0"/>
    <m/>
    <n v="75"/>
  </r>
  <r>
    <s v="USR-100769"/>
    <d v="2025-01-04T00:00:00"/>
    <x v="1"/>
    <s v="East"/>
    <s v="Mobile"/>
    <s v="Social"/>
    <s v="Free"/>
    <n v="1"/>
    <n v="0"/>
    <n v="0"/>
    <n v="0"/>
    <n v="0"/>
    <n v="0"/>
    <n v="0"/>
    <m/>
    <n v="70.2"/>
  </r>
  <r>
    <s v="USR-100770"/>
    <d v="2025-02-09T00:00:00"/>
    <x v="1"/>
    <s v="South"/>
    <s v="Desktop"/>
    <s v="Organic"/>
    <s v="Premium"/>
    <n v="1"/>
    <n v="1"/>
    <n v="1"/>
    <n v="0"/>
    <n v="0"/>
    <n v="0"/>
    <n v="0"/>
    <m/>
    <n v="56.6"/>
  </r>
  <r>
    <s v="USR-100771"/>
    <d v="2025-03-05T00:00:00"/>
    <x v="1"/>
    <s v="East"/>
    <s v="Desktop"/>
    <s v="Organic"/>
    <s v="Free"/>
    <n v="1"/>
    <n v="0"/>
    <n v="0"/>
    <n v="0"/>
    <n v="0"/>
    <n v="0"/>
    <n v="0"/>
    <m/>
    <n v="65.400000000000006"/>
  </r>
  <r>
    <s v="USR-100772"/>
    <d v="2025-03-10T00:00:00"/>
    <x v="1"/>
    <s v="East"/>
    <s v="Mobile"/>
    <s v="Referral"/>
    <s v="Basic"/>
    <n v="1"/>
    <n v="0"/>
    <n v="0"/>
    <n v="0"/>
    <n v="0"/>
    <n v="0"/>
    <n v="0"/>
    <m/>
    <n v="47.6"/>
  </r>
  <r>
    <s v="USR-100773"/>
    <d v="2025-02-27T00:00:00"/>
    <x v="1"/>
    <s v="East"/>
    <s v="Desktop"/>
    <s v="Paid Search"/>
    <s v="Free"/>
    <n v="1"/>
    <n v="0"/>
    <n v="0"/>
    <n v="0"/>
    <n v="0"/>
    <n v="0"/>
    <n v="0"/>
    <m/>
    <n v="56.7"/>
  </r>
  <r>
    <s v="USR-100774"/>
    <d v="2025-03-10T00:00:00"/>
    <x v="1"/>
    <s v="North"/>
    <s v="Desktop"/>
    <s v="Referral"/>
    <s v="Basic"/>
    <n v="1"/>
    <n v="1"/>
    <n v="0"/>
    <n v="0"/>
    <n v="0"/>
    <n v="0"/>
    <n v="0"/>
    <m/>
    <n v="71.400000000000006"/>
  </r>
  <r>
    <s v="USR-100775"/>
    <d v="2025-04-23T00:00:00"/>
    <x v="1"/>
    <s v="West"/>
    <s v="Mobile"/>
    <s v="Social"/>
    <s v="Free"/>
    <n v="0"/>
    <n v="0"/>
    <n v="0"/>
    <n v="0"/>
    <n v="0"/>
    <n v="2"/>
    <n v="0"/>
    <m/>
    <n v="60.5"/>
  </r>
  <r>
    <s v="USR-100776"/>
    <d v="2025-04-12T00:00:00"/>
    <x v="1"/>
    <s v="North"/>
    <s v="Desktop"/>
    <s v="Paid Search"/>
    <s v="Free"/>
    <n v="1"/>
    <n v="0"/>
    <n v="0"/>
    <n v="0"/>
    <n v="0"/>
    <n v="0"/>
    <n v="0"/>
    <m/>
    <n v="46.7"/>
  </r>
  <r>
    <s v="USR-100777"/>
    <d v="2025-01-26T00:00:00"/>
    <x v="1"/>
    <s v="East"/>
    <s v="Desktop"/>
    <s v="Referral"/>
    <s v="Free"/>
    <n v="0"/>
    <n v="0"/>
    <n v="0"/>
    <n v="0"/>
    <n v="0"/>
    <n v="0"/>
    <n v="0"/>
    <m/>
    <n v="61"/>
  </r>
  <r>
    <s v="USR-100778"/>
    <d v="2025-05-24T00:00:00"/>
    <x v="1"/>
    <s v="West"/>
    <s v="Tablet"/>
    <s v="Paid Search"/>
    <s v="Free"/>
    <n v="0"/>
    <n v="0"/>
    <n v="0"/>
    <n v="0"/>
    <n v="0"/>
    <n v="0"/>
    <n v="0"/>
    <m/>
    <n v="60.9"/>
  </r>
  <r>
    <s v="USR-100779"/>
    <d v="2025-01-08T00:00:00"/>
    <x v="1"/>
    <s v="South"/>
    <s v="Mobile"/>
    <s v="Organic"/>
    <s v="Free"/>
    <n v="1"/>
    <n v="0"/>
    <n v="0"/>
    <n v="0"/>
    <n v="0"/>
    <n v="0"/>
    <n v="0"/>
    <m/>
    <n v="67.099999999999994"/>
  </r>
  <r>
    <s v="USR-100780"/>
    <d v="2025-04-15T00:00:00"/>
    <x v="1"/>
    <s v="North"/>
    <s v="Mobile"/>
    <s v="Referral"/>
    <s v="Free"/>
    <n v="1"/>
    <n v="1"/>
    <n v="0"/>
    <n v="0"/>
    <n v="0"/>
    <n v="0"/>
    <n v="0"/>
    <m/>
    <n v="59.6"/>
  </r>
  <r>
    <s v="USR-100781"/>
    <d v="2025-01-15T00:00:00"/>
    <x v="1"/>
    <s v="South"/>
    <s v="Desktop"/>
    <s v="Paid Search"/>
    <s v="Free"/>
    <n v="1"/>
    <n v="0"/>
    <n v="0"/>
    <n v="0"/>
    <n v="0"/>
    <n v="0"/>
    <n v="0"/>
    <m/>
    <n v="83.8"/>
  </r>
  <r>
    <s v="USR-100782"/>
    <d v="2025-02-28T00:00:00"/>
    <x v="1"/>
    <s v="North"/>
    <s v="Mobile"/>
    <s v="Organic"/>
    <s v="Basic"/>
    <n v="1"/>
    <n v="1"/>
    <n v="1"/>
    <n v="0"/>
    <n v="0"/>
    <n v="0"/>
    <n v="0"/>
    <m/>
    <n v="70.8"/>
  </r>
  <r>
    <s v="USR-100783"/>
    <d v="2025-01-01T00:00:00"/>
    <x v="1"/>
    <s v="North"/>
    <s v="Tablet"/>
    <s v="Organic"/>
    <s v="Basic"/>
    <n v="0"/>
    <n v="0"/>
    <n v="0"/>
    <n v="0"/>
    <n v="0"/>
    <n v="0"/>
    <n v="0"/>
    <m/>
    <n v="65.900000000000006"/>
  </r>
  <r>
    <s v="USR-100784"/>
    <d v="2025-04-17T00:00:00"/>
    <x v="1"/>
    <s v="West"/>
    <s v="Mobile"/>
    <s v="Referral"/>
    <s v="Free"/>
    <n v="1"/>
    <n v="0"/>
    <n v="0"/>
    <n v="0"/>
    <n v="0"/>
    <n v="0"/>
    <n v="0"/>
    <m/>
    <n v="58"/>
  </r>
  <r>
    <s v="USR-100785"/>
    <d v="2025-02-19T00:00:00"/>
    <x v="1"/>
    <s v="North"/>
    <s v="Mobile"/>
    <s v="Email"/>
    <s v="Basic"/>
    <n v="1"/>
    <n v="1"/>
    <n v="0"/>
    <n v="0"/>
    <n v="0"/>
    <n v="0"/>
    <n v="0"/>
    <m/>
    <n v="80.3"/>
  </r>
  <r>
    <s v="USR-100786"/>
    <d v="2025-03-14T00:00:00"/>
    <x v="1"/>
    <s v="North"/>
    <s v="Desktop"/>
    <s v="Organic"/>
    <s v="Free"/>
    <n v="1"/>
    <n v="0"/>
    <n v="0"/>
    <n v="0"/>
    <n v="0"/>
    <n v="0"/>
    <n v="0"/>
    <m/>
    <n v="55.7"/>
  </r>
  <r>
    <s v="USR-100787"/>
    <d v="2025-04-21T00:00:00"/>
    <x v="1"/>
    <s v="North"/>
    <s v="Mobile"/>
    <s v="Organic"/>
    <s v="Free"/>
    <n v="1"/>
    <n v="1"/>
    <n v="0"/>
    <n v="0"/>
    <n v="0"/>
    <n v="0"/>
    <n v="0"/>
    <m/>
    <n v="84.9"/>
  </r>
  <r>
    <s v="USR-100788"/>
    <d v="2025-02-14T00:00:00"/>
    <x v="1"/>
    <s v="North"/>
    <s v="Mobile"/>
    <s v="Organic"/>
    <s v="Free"/>
    <n v="1"/>
    <n v="0"/>
    <n v="0"/>
    <n v="0"/>
    <n v="0"/>
    <n v="0"/>
    <n v="0"/>
    <m/>
    <n v="63.3"/>
  </r>
  <r>
    <s v="USR-100789"/>
    <d v="2025-05-30T00:00:00"/>
    <x v="1"/>
    <s v="West"/>
    <s v="Mobile"/>
    <s v="Organic"/>
    <s v="Free"/>
    <n v="0"/>
    <n v="0"/>
    <n v="0"/>
    <n v="0"/>
    <n v="0"/>
    <n v="0"/>
    <n v="0"/>
    <m/>
    <n v="53.1"/>
  </r>
  <r>
    <s v="USR-100790"/>
    <d v="2025-01-20T00:00:00"/>
    <x v="1"/>
    <s v="West"/>
    <s v="Mobile"/>
    <s v="Organic"/>
    <s v="Free"/>
    <n v="0"/>
    <n v="0"/>
    <n v="0"/>
    <n v="0"/>
    <n v="0"/>
    <n v="0"/>
    <n v="0"/>
    <m/>
    <n v="66"/>
  </r>
  <r>
    <s v="USR-100791"/>
    <d v="2025-03-17T00:00:00"/>
    <x v="1"/>
    <s v="West"/>
    <s v="Mobile"/>
    <s v="Social"/>
    <s v="Premium"/>
    <n v="0"/>
    <n v="0"/>
    <n v="0"/>
    <n v="0"/>
    <n v="0"/>
    <n v="0"/>
    <n v="0"/>
    <m/>
    <n v="54.7"/>
  </r>
  <r>
    <s v="USR-100792"/>
    <d v="2025-03-04T00:00:00"/>
    <x v="1"/>
    <s v="West"/>
    <s v="Mobile"/>
    <s v="Social"/>
    <s v="Free"/>
    <n v="1"/>
    <n v="1"/>
    <n v="0"/>
    <n v="0"/>
    <n v="0"/>
    <n v="1"/>
    <n v="0"/>
    <m/>
    <n v="41.2"/>
  </r>
  <r>
    <s v="USR-100793"/>
    <d v="2025-02-22T00:00:00"/>
    <x v="1"/>
    <s v="South"/>
    <s v="Mobile"/>
    <s v="Organic"/>
    <s v="Premium"/>
    <n v="0"/>
    <n v="0"/>
    <n v="0"/>
    <n v="0"/>
    <n v="0"/>
    <n v="0"/>
    <n v="0"/>
    <m/>
    <n v="66.7"/>
  </r>
  <r>
    <s v="USR-100794"/>
    <d v="2025-05-02T00:00:00"/>
    <x v="1"/>
    <s v="North"/>
    <s v="Mobile"/>
    <s v="Paid Search"/>
    <s v="Premium"/>
    <n v="0"/>
    <n v="0"/>
    <n v="0"/>
    <n v="0"/>
    <n v="0"/>
    <n v="0"/>
    <n v="0"/>
    <m/>
    <n v="39.4"/>
  </r>
  <r>
    <s v="USR-100795"/>
    <d v="2025-03-13T00:00:00"/>
    <x v="1"/>
    <s v="West"/>
    <s v="Desktop"/>
    <s v="Organic"/>
    <s v="Premium"/>
    <n v="0"/>
    <n v="0"/>
    <n v="0"/>
    <n v="0"/>
    <n v="0"/>
    <n v="3"/>
    <n v="0"/>
    <m/>
    <n v="67"/>
  </r>
  <r>
    <s v="USR-100796"/>
    <d v="2025-05-31T00:00:00"/>
    <x v="1"/>
    <s v="South"/>
    <s v="Mobile"/>
    <s v="Organic"/>
    <s v="Basic"/>
    <n v="1"/>
    <n v="0"/>
    <n v="0"/>
    <n v="0"/>
    <n v="0"/>
    <n v="0"/>
    <n v="0"/>
    <m/>
    <n v="50.4"/>
  </r>
  <r>
    <s v="USR-100797"/>
    <d v="2025-03-07T00:00:00"/>
    <x v="1"/>
    <s v="West"/>
    <s v="Desktop"/>
    <s v="Social"/>
    <s v="Free"/>
    <n v="1"/>
    <n v="0"/>
    <n v="0"/>
    <n v="0"/>
    <n v="0"/>
    <n v="0"/>
    <n v="0"/>
    <m/>
    <n v="53.8"/>
  </r>
  <r>
    <s v="USR-100798"/>
    <d v="2025-02-22T00:00:00"/>
    <x v="1"/>
    <s v="West"/>
    <s v="Mobile"/>
    <s v="Paid Search"/>
    <s v="Basic"/>
    <n v="0"/>
    <n v="0"/>
    <n v="0"/>
    <n v="0"/>
    <n v="0"/>
    <n v="1"/>
    <n v="0"/>
    <m/>
    <n v="82.7"/>
  </r>
  <r>
    <s v="USR-100799"/>
    <d v="2025-01-05T00:00:00"/>
    <x v="1"/>
    <s v="West"/>
    <s v="Desktop"/>
    <s v="Paid Search"/>
    <s v="Free"/>
    <n v="1"/>
    <n v="1"/>
    <n v="1"/>
    <n v="0"/>
    <n v="0"/>
    <n v="0"/>
    <n v="0"/>
    <m/>
    <n v="63.9"/>
  </r>
  <r>
    <s v="USR-100800"/>
    <d v="2025-01-21T00:00:00"/>
    <x v="1"/>
    <s v="West"/>
    <s v="Mobile"/>
    <s v="Referral"/>
    <s v="Free"/>
    <n v="1"/>
    <n v="0"/>
    <n v="0"/>
    <n v="0"/>
    <n v="0"/>
    <n v="0"/>
    <n v="0"/>
    <m/>
    <n v="61.9"/>
  </r>
  <r>
    <s v="USR-100801"/>
    <d v="2025-01-25T00:00:00"/>
    <x v="1"/>
    <s v="North"/>
    <s v="Desktop"/>
    <s v="Social"/>
    <s v="Free"/>
    <n v="1"/>
    <n v="1"/>
    <n v="1"/>
    <n v="0"/>
    <n v="0"/>
    <n v="0"/>
    <n v="0"/>
    <m/>
    <n v="75"/>
  </r>
  <r>
    <s v="USR-100802"/>
    <d v="2025-04-04T00:00:00"/>
    <x v="1"/>
    <s v="West"/>
    <s v="Mobile"/>
    <s v="Paid Search"/>
    <s v="Basic"/>
    <n v="1"/>
    <n v="1"/>
    <n v="1"/>
    <n v="0"/>
    <n v="0"/>
    <n v="0"/>
    <n v="0"/>
    <m/>
    <n v="43"/>
  </r>
  <r>
    <s v="USR-100803"/>
    <d v="2025-03-25T00:00:00"/>
    <x v="1"/>
    <s v="North"/>
    <s v="Desktop"/>
    <s v="Social"/>
    <s v="Premium"/>
    <n v="0"/>
    <n v="0"/>
    <n v="0"/>
    <n v="0"/>
    <n v="0"/>
    <n v="0"/>
    <n v="0"/>
    <m/>
    <n v="54.3"/>
  </r>
  <r>
    <s v="USR-100804"/>
    <d v="2025-03-19T00:00:00"/>
    <x v="1"/>
    <s v="West"/>
    <s v="Mobile"/>
    <s v="Social"/>
    <s v="Free"/>
    <n v="0"/>
    <n v="0"/>
    <n v="0"/>
    <n v="0"/>
    <n v="0"/>
    <n v="2"/>
    <n v="0"/>
    <m/>
    <n v="44.3"/>
  </r>
  <r>
    <s v="USR-100805"/>
    <d v="2025-04-24T00:00:00"/>
    <x v="1"/>
    <s v="West"/>
    <s v="Desktop"/>
    <s v="Organic"/>
    <s v="Free"/>
    <n v="1"/>
    <n v="1"/>
    <n v="1"/>
    <n v="1"/>
    <n v="402.88"/>
    <n v="0"/>
    <n v="0"/>
    <n v="12"/>
    <n v="76"/>
  </r>
  <r>
    <s v="USR-100806"/>
    <d v="2025-04-04T00:00:00"/>
    <x v="1"/>
    <s v="South"/>
    <s v="Tablet"/>
    <s v="Organic"/>
    <s v="Free"/>
    <n v="1"/>
    <n v="0"/>
    <n v="0"/>
    <n v="0"/>
    <n v="0"/>
    <n v="2"/>
    <n v="0"/>
    <m/>
    <n v="65.3"/>
  </r>
  <r>
    <s v="USR-100807"/>
    <d v="2025-03-28T00:00:00"/>
    <x v="1"/>
    <s v="South"/>
    <s v="Desktop"/>
    <s v="Paid Search"/>
    <s v="Premium"/>
    <n v="1"/>
    <n v="0"/>
    <n v="0"/>
    <n v="0"/>
    <n v="0"/>
    <n v="0"/>
    <n v="0"/>
    <m/>
    <n v="71.2"/>
  </r>
  <r>
    <s v="USR-100808"/>
    <d v="2025-05-15T00:00:00"/>
    <x v="1"/>
    <s v="South"/>
    <s v="Tablet"/>
    <s v="Paid Search"/>
    <s v="Free"/>
    <n v="1"/>
    <n v="0"/>
    <n v="0"/>
    <n v="0"/>
    <n v="0"/>
    <n v="0"/>
    <n v="0"/>
    <m/>
    <n v="77.900000000000006"/>
  </r>
  <r>
    <s v="USR-100809"/>
    <d v="2025-03-13T00:00:00"/>
    <x v="1"/>
    <s v="West"/>
    <s v="Mobile"/>
    <s v="Paid Search"/>
    <s v="Free"/>
    <n v="0"/>
    <n v="0"/>
    <n v="0"/>
    <n v="0"/>
    <n v="0"/>
    <n v="0"/>
    <n v="0"/>
    <m/>
    <n v="48.6"/>
  </r>
  <r>
    <s v="USR-100810"/>
    <d v="2025-03-26T00:00:00"/>
    <x v="1"/>
    <s v="North"/>
    <s v="Mobile"/>
    <s v="Social"/>
    <s v="Premium"/>
    <n v="1"/>
    <n v="0"/>
    <n v="0"/>
    <n v="0"/>
    <n v="0"/>
    <n v="0"/>
    <n v="0"/>
    <m/>
    <n v="61.9"/>
  </r>
  <r>
    <s v="USR-100811"/>
    <d v="2025-01-09T00:00:00"/>
    <x v="1"/>
    <s v="North"/>
    <s v="Mobile"/>
    <s v="Social"/>
    <s v="Basic"/>
    <n v="0"/>
    <n v="0"/>
    <n v="0"/>
    <n v="0"/>
    <n v="0"/>
    <n v="1"/>
    <n v="0"/>
    <m/>
    <n v="58.7"/>
  </r>
  <r>
    <s v="USR-100812"/>
    <d v="2025-05-06T00:00:00"/>
    <x v="1"/>
    <s v="South"/>
    <s v="Desktop"/>
    <s v="Paid Search"/>
    <s v="Free"/>
    <n v="1"/>
    <n v="0"/>
    <n v="0"/>
    <n v="0"/>
    <n v="0"/>
    <n v="0"/>
    <n v="0"/>
    <m/>
    <n v="69.599999999999994"/>
  </r>
  <r>
    <s v="USR-100813"/>
    <d v="2025-02-17T00:00:00"/>
    <x v="1"/>
    <s v="South"/>
    <s v="Mobile"/>
    <s v="Organic"/>
    <s v="Free"/>
    <n v="1"/>
    <n v="0"/>
    <n v="0"/>
    <n v="0"/>
    <n v="0"/>
    <n v="0"/>
    <n v="0"/>
    <m/>
    <n v="51.5"/>
  </r>
  <r>
    <s v="USR-100814"/>
    <d v="2025-04-05T00:00:00"/>
    <x v="1"/>
    <s v="East"/>
    <s v="Mobile"/>
    <s v="Paid Search"/>
    <s v="Free"/>
    <n v="1"/>
    <n v="1"/>
    <n v="1"/>
    <n v="1"/>
    <n v="277.69"/>
    <n v="3"/>
    <n v="0"/>
    <n v="8"/>
    <n v="46"/>
  </r>
  <r>
    <s v="USR-100815"/>
    <d v="2025-04-13T00:00:00"/>
    <x v="1"/>
    <s v="West"/>
    <s v="Tablet"/>
    <s v="Organic"/>
    <s v="Free"/>
    <n v="1"/>
    <n v="0"/>
    <n v="0"/>
    <n v="0"/>
    <n v="0"/>
    <n v="0"/>
    <n v="0"/>
    <m/>
    <n v="81.7"/>
  </r>
  <r>
    <s v="USR-100816"/>
    <d v="2025-05-20T00:00:00"/>
    <x v="1"/>
    <s v="East"/>
    <s v="Desktop"/>
    <s v="Referral"/>
    <s v="Free"/>
    <n v="1"/>
    <n v="0"/>
    <n v="0"/>
    <n v="0"/>
    <n v="0"/>
    <n v="0"/>
    <n v="0"/>
    <m/>
    <n v="48.3"/>
  </r>
  <r>
    <s v="USR-100817"/>
    <d v="2025-03-31T00:00:00"/>
    <x v="1"/>
    <s v="East"/>
    <s v="Mobile"/>
    <s v="Email"/>
    <s v="Free"/>
    <n v="1"/>
    <n v="1"/>
    <n v="0"/>
    <n v="0"/>
    <n v="0"/>
    <n v="0"/>
    <n v="0"/>
    <m/>
    <n v="85.6"/>
  </r>
  <r>
    <s v="USR-100818"/>
    <d v="2025-04-03T00:00:00"/>
    <x v="1"/>
    <s v="West"/>
    <s v="Tablet"/>
    <s v="Paid Search"/>
    <s v="Basic"/>
    <n v="1"/>
    <n v="0"/>
    <n v="0"/>
    <n v="0"/>
    <n v="0"/>
    <n v="0"/>
    <n v="0"/>
    <m/>
    <n v="53.8"/>
  </r>
  <r>
    <s v="USR-100819"/>
    <d v="2025-02-04T00:00:00"/>
    <x v="1"/>
    <s v="South"/>
    <s v="Mobile"/>
    <s v="Organic"/>
    <s v="Free"/>
    <n v="1"/>
    <n v="1"/>
    <n v="1"/>
    <n v="1"/>
    <n v="460.83"/>
    <n v="2"/>
    <n v="0"/>
    <n v="0"/>
    <n v="69.7"/>
  </r>
  <r>
    <s v="USR-100820"/>
    <d v="2025-05-19T00:00:00"/>
    <x v="1"/>
    <s v="East"/>
    <s v="Mobile"/>
    <s v="Organic"/>
    <s v="Free"/>
    <n v="1"/>
    <n v="0"/>
    <n v="0"/>
    <n v="0"/>
    <n v="0"/>
    <n v="0"/>
    <n v="0"/>
    <m/>
    <n v="74.8"/>
  </r>
  <r>
    <s v="USR-100821"/>
    <d v="2025-03-08T00:00:00"/>
    <x v="1"/>
    <s v="East"/>
    <s v="Desktop"/>
    <s v="Paid Search"/>
    <s v="Basic"/>
    <n v="0"/>
    <n v="0"/>
    <n v="0"/>
    <n v="0"/>
    <n v="0"/>
    <n v="0"/>
    <n v="0"/>
    <m/>
    <n v="87.9"/>
  </r>
  <r>
    <s v="USR-100822"/>
    <d v="2025-05-10T00:00:00"/>
    <x v="1"/>
    <s v="North"/>
    <s v="Mobile"/>
    <s v="Social"/>
    <s v="Basic"/>
    <n v="1"/>
    <n v="0"/>
    <n v="0"/>
    <n v="0"/>
    <n v="0"/>
    <n v="1"/>
    <n v="0"/>
    <m/>
    <n v="49.1"/>
  </r>
  <r>
    <s v="USR-100823"/>
    <d v="2025-01-02T00:00:00"/>
    <x v="1"/>
    <s v="East"/>
    <s v="Desktop"/>
    <s v="Social"/>
    <s v="Basic"/>
    <n v="1"/>
    <n v="0"/>
    <n v="0"/>
    <n v="0"/>
    <n v="0"/>
    <n v="2"/>
    <n v="0"/>
    <m/>
    <n v="73"/>
  </r>
  <r>
    <s v="USR-100824"/>
    <d v="2025-01-17T00:00:00"/>
    <x v="1"/>
    <s v="West"/>
    <s v="Mobile"/>
    <s v="Organic"/>
    <s v="Basic"/>
    <n v="0"/>
    <n v="0"/>
    <n v="0"/>
    <n v="0"/>
    <n v="0"/>
    <n v="0"/>
    <n v="0"/>
    <m/>
    <n v="79.5"/>
  </r>
  <r>
    <s v="USR-100825"/>
    <d v="2025-05-21T00:00:00"/>
    <x v="1"/>
    <s v="West"/>
    <s v="Mobile"/>
    <s v="Referral"/>
    <s v="Basic"/>
    <n v="1"/>
    <n v="1"/>
    <n v="1"/>
    <n v="1"/>
    <n v="782.23"/>
    <n v="1"/>
    <n v="0"/>
    <n v="6"/>
    <n v="93.2"/>
  </r>
  <r>
    <s v="USR-100826"/>
    <d v="2025-05-25T00:00:00"/>
    <x v="1"/>
    <s v="East"/>
    <s v="Desktop"/>
    <s v="Referral"/>
    <s v="Free"/>
    <n v="1"/>
    <n v="0"/>
    <n v="0"/>
    <n v="0"/>
    <n v="0"/>
    <n v="3"/>
    <n v="0"/>
    <m/>
    <n v="77.5"/>
  </r>
  <r>
    <s v="USR-100827"/>
    <d v="2025-01-05T00:00:00"/>
    <x v="1"/>
    <s v="West"/>
    <s v="Mobile"/>
    <s v="Email"/>
    <s v="Basic"/>
    <n v="1"/>
    <n v="0"/>
    <n v="0"/>
    <n v="0"/>
    <n v="0"/>
    <n v="0"/>
    <n v="0"/>
    <m/>
    <n v="61"/>
  </r>
  <r>
    <s v="USR-100828"/>
    <d v="2025-02-24T00:00:00"/>
    <x v="1"/>
    <s v="South"/>
    <s v="Desktop"/>
    <s v="Organic"/>
    <s v="Free"/>
    <n v="1"/>
    <n v="1"/>
    <n v="0"/>
    <n v="0"/>
    <n v="0"/>
    <n v="0"/>
    <n v="0"/>
    <m/>
    <n v="64.900000000000006"/>
  </r>
  <r>
    <s v="USR-100829"/>
    <d v="2025-01-21T00:00:00"/>
    <x v="1"/>
    <s v="East"/>
    <s v="Mobile"/>
    <s v="Paid Search"/>
    <s v="Basic"/>
    <n v="1"/>
    <n v="0"/>
    <n v="0"/>
    <n v="0"/>
    <n v="0"/>
    <n v="0"/>
    <n v="0"/>
    <m/>
    <n v="87.5"/>
  </r>
  <r>
    <s v="USR-100830"/>
    <d v="2025-04-24T00:00:00"/>
    <x v="1"/>
    <s v="North"/>
    <s v="Mobile"/>
    <s v="Organic"/>
    <s v="Basic"/>
    <n v="1"/>
    <n v="1"/>
    <n v="1"/>
    <n v="1"/>
    <n v="1171.99"/>
    <n v="0"/>
    <n v="0"/>
    <n v="5"/>
    <n v="80.599999999999994"/>
  </r>
  <r>
    <s v="USR-100831"/>
    <d v="2025-01-07T00:00:00"/>
    <x v="1"/>
    <s v="West"/>
    <s v="Desktop"/>
    <s v="Organic"/>
    <s v="Free"/>
    <n v="1"/>
    <n v="0"/>
    <n v="0"/>
    <n v="0"/>
    <n v="0"/>
    <n v="0"/>
    <n v="0"/>
    <m/>
    <n v="66.900000000000006"/>
  </r>
  <r>
    <s v="USR-100832"/>
    <d v="2025-05-31T00:00:00"/>
    <x v="1"/>
    <s v="South"/>
    <s v="Tablet"/>
    <s v="Organic"/>
    <s v="Basic"/>
    <n v="1"/>
    <n v="1"/>
    <n v="1"/>
    <n v="0"/>
    <n v="0"/>
    <n v="0"/>
    <n v="0"/>
    <m/>
    <n v="58.8"/>
  </r>
  <r>
    <s v="USR-100833"/>
    <d v="2025-04-02T00:00:00"/>
    <x v="1"/>
    <s v="North"/>
    <s v="Desktop"/>
    <s v="Organic"/>
    <s v="Basic"/>
    <n v="1"/>
    <n v="1"/>
    <n v="1"/>
    <n v="1"/>
    <n v="1010.4"/>
    <n v="0"/>
    <n v="0"/>
    <n v="4"/>
    <n v="42.9"/>
  </r>
  <r>
    <s v="USR-100834"/>
    <d v="2025-04-21T00:00:00"/>
    <x v="1"/>
    <s v="East"/>
    <s v="Mobile"/>
    <s v="Organic"/>
    <s v="Free"/>
    <n v="1"/>
    <n v="1"/>
    <n v="1"/>
    <n v="0"/>
    <n v="0"/>
    <n v="1"/>
    <n v="0"/>
    <m/>
    <n v="60.2"/>
  </r>
  <r>
    <s v="USR-100835"/>
    <d v="2025-05-05T00:00:00"/>
    <x v="1"/>
    <s v="East"/>
    <s v="Mobile"/>
    <s v="Paid Search"/>
    <s v="Basic"/>
    <n v="1"/>
    <n v="0"/>
    <n v="0"/>
    <n v="0"/>
    <n v="0"/>
    <n v="0"/>
    <n v="0"/>
    <m/>
    <n v="42.7"/>
  </r>
  <r>
    <s v="USR-100836"/>
    <d v="2025-01-06T00:00:00"/>
    <x v="1"/>
    <s v="North"/>
    <s v="Desktop"/>
    <s v="Social"/>
    <s v="Free"/>
    <n v="1"/>
    <n v="1"/>
    <n v="1"/>
    <n v="1"/>
    <n v="431.27"/>
    <n v="0"/>
    <n v="0"/>
    <n v="7"/>
    <n v="60.8"/>
  </r>
  <r>
    <s v="USR-100837"/>
    <d v="2025-04-24T00:00:00"/>
    <x v="1"/>
    <s v="South"/>
    <s v="Mobile"/>
    <s v="Referral"/>
    <s v="Free"/>
    <n v="1"/>
    <n v="1"/>
    <n v="1"/>
    <n v="1"/>
    <n v="428.8"/>
    <n v="0"/>
    <n v="0"/>
    <n v="9"/>
    <n v="79.3"/>
  </r>
  <r>
    <s v="USR-100838"/>
    <d v="2025-04-21T00:00:00"/>
    <x v="1"/>
    <s v="South"/>
    <s v="Mobile"/>
    <s v="Organic"/>
    <s v="Basic"/>
    <n v="1"/>
    <n v="0"/>
    <n v="0"/>
    <n v="0"/>
    <n v="0"/>
    <n v="1"/>
    <n v="0"/>
    <m/>
    <n v="88.6"/>
  </r>
  <r>
    <s v="USR-100839"/>
    <d v="2025-02-09T00:00:00"/>
    <x v="1"/>
    <s v="West"/>
    <s v="Mobile"/>
    <s v="Organic"/>
    <s v="Basic"/>
    <n v="1"/>
    <n v="1"/>
    <n v="1"/>
    <n v="0"/>
    <n v="0"/>
    <n v="0"/>
    <n v="0"/>
    <m/>
    <n v="63.1"/>
  </r>
  <r>
    <s v="USR-100840"/>
    <d v="2025-01-09T00:00:00"/>
    <x v="1"/>
    <s v="East"/>
    <s v="Mobile"/>
    <s v="Organic"/>
    <s v="Premium"/>
    <n v="1"/>
    <n v="0"/>
    <n v="0"/>
    <n v="0"/>
    <n v="0"/>
    <n v="0"/>
    <n v="0"/>
    <m/>
    <n v="39.700000000000003"/>
  </r>
  <r>
    <s v="USR-100841"/>
    <d v="2025-02-16T00:00:00"/>
    <x v="1"/>
    <s v="North"/>
    <s v="Mobile"/>
    <s v="Paid Search"/>
    <s v="Basic"/>
    <n v="0"/>
    <n v="0"/>
    <n v="0"/>
    <n v="0"/>
    <n v="0"/>
    <n v="0"/>
    <n v="0"/>
    <m/>
    <n v="67.2"/>
  </r>
  <r>
    <s v="USR-100842"/>
    <d v="2025-02-21T00:00:00"/>
    <x v="1"/>
    <s v="South"/>
    <s v="Mobile"/>
    <s v="Organic"/>
    <s v="Free"/>
    <n v="1"/>
    <n v="1"/>
    <n v="1"/>
    <n v="0"/>
    <n v="0"/>
    <n v="0"/>
    <n v="0"/>
    <m/>
    <n v="62.3"/>
  </r>
  <r>
    <s v="USR-100843"/>
    <d v="2025-02-08T00:00:00"/>
    <x v="1"/>
    <s v="South"/>
    <s v="Mobile"/>
    <s v="Organic"/>
    <s v="Premium"/>
    <n v="1"/>
    <n v="0"/>
    <n v="0"/>
    <n v="0"/>
    <n v="0"/>
    <n v="0"/>
    <n v="0"/>
    <m/>
    <m/>
  </r>
  <r>
    <s v="USR-100844"/>
    <d v="2025-01-22T00:00:00"/>
    <x v="1"/>
    <s v="South"/>
    <s v="Mobile"/>
    <s v="Paid Search"/>
    <s v="Premium"/>
    <n v="0"/>
    <n v="0"/>
    <n v="0"/>
    <n v="0"/>
    <n v="0"/>
    <n v="0"/>
    <n v="0"/>
    <m/>
    <n v="60.7"/>
  </r>
  <r>
    <s v="USR-100845"/>
    <d v="2025-04-01T00:00:00"/>
    <x v="1"/>
    <s v="West"/>
    <s v="Mobile"/>
    <s v="Organic"/>
    <s v="Basic"/>
    <n v="1"/>
    <n v="0"/>
    <n v="0"/>
    <n v="0"/>
    <n v="0"/>
    <n v="0"/>
    <n v="0"/>
    <m/>
    <n v="61.5"/>
  </r>
  <r>
    <s v="USR-100846"/>
    <d v="2025-01-21T00:00:00"/>
    <x v="1"/>
    <s v="North"/>
    <s v="Mobile"/>
    <s v="Paid Search"/>
    <s v="Basic"/>
    <n v="1"/>
    <n v="0"/>
    <n v="0"/>
    <n v="0"/>
    <n v="0"/>
    <n v="0"/>
    <n v="0"/>
    <m/>
    <n v="75"/>
  </r>
  <r>
    <s v="USR-100847"/>
    <d v="2025-01-02T00:00:00"/>
    <x v="1"/>
    <s v="East"/>
    <s v="Desktop"/>
    <s v="Organic"/>
    <s v="Free"/>
    <n v="1"/>
    <n v="1"/>
    <n v="0"/>
    <n v="0"/>
    <n v="0"/>
    <n v="0"/>
    <n v="0"/>
    <m/>
    <n v="51.9"/>
  </r>
  <r>
    <s v="USR-100848"/>
    <d v="2025-05-12T00:00:00"/>
    <x v="1"/>
    <s v="South"/>
    <s v="Desktop"/>
    <s v="Paid Search"/>
    <s v="Free"/>
    <n v="0"/>
    <n v="0"/>
    <n v="0"/>
    <n v="0"/>
    <n v="0"/>
    <n v="0"/>
    <n v="0"/>
    <m/>
    <n v="34.5"/>
  </r>
  <r>
    <s v="USR-100849"/>
    <d v="2025-03-05T00:00:00"/>
    <x v="1"/>
    <s v="South"/>
    <s v="Mobile"/>
    <s v="Social"/>
    <s v="Basic"/>
    <n v="0"/>
    <n v="0"/>
    <n v="0"/>
    <n v="0"/>
    <n v="0"/>
    <n v="0"/>
    <n v="0"/>
    <m/>
    <n v="54.5"/>
  </r>
  <r>
    <s v="USR-100850"/>
    <d v="2025-01-24T00:00:00"/>
    <x v="1"/>
    <s v="East"/>
    <s v="Mobile"/>
    <s v="Organic"/>
    <s v="Free"/>
    <n v="0"/>
    <n v="0"/>
    <n v="0"/>
    <n v="0"/>
    <n v="0"/>
    <n v="0"/>
    <n v="0"/>
    <m/>
    <n v="46"/>
  </r>
  <r>
    <s v="USR-100851"/>
    <d v="2025-01-31T00:00:00"/>
    <x v="1"/>
    <s v="East"/>
    <s v="Desktop"/>
    <s v="Email"/>
    <s v="Free"/>
    <n v="1"/>
    <n v="1"/>
    <n v="1"/>
    <n v="0"/>
    <n v="0"/>
    <n v="0"/>
    <n v="0"/>
    <m/>
    <n v="88.4"/>
  </r>
  <r>
    <s v="USR-100852"/>
    <d v="2025-01-24T00:00:00"/>
    <x v="1"/>
    <s v="North"/>
    <s v="Tablet"/>
    <s v="Organic"/>
    <s v="Basic"/>
    <n v="1"/>
    <n v="0"/>
    <n v="0"/>
    <n v="0"/>
    <n v="0"/>
    <n v="0"/>
    <n v="0"/>
    <m/>
    <n v="69.5"/>
  </r>
  <r>
    <s v="USR-100853"/>
    <d v="2025-02-14T00:00:00"/>
    <x v="1"/>
    <s v="North"/>
    <s v="Desktop"/>
    <s v="Referral"/>
    <s v="Basic"/>
    <n v="1"/>
    <n v="1"/>
    <n v="1"/>
    <n v="0"/>
    <n v="0"/>
    <n v="0"/>
    <n v="0"/>
    <m/>
    <n v="74.2"/>
  </r>
  <r>
    <s v="USR-100854"/>
    <d v="2025-05-27T00:00:00"/>
    <x v="1"/>
    <s v="North"/>
    <s v="Mobile"/>
    <s v="Organic"/>
    <s v="Free"/>
    <n v="1"/>
    <n v="1"/>
    <n v="1"/>
    <n v="0"/>
    <n v="0"/>
    <n v="0"/>
    <n v="0"/>
    <m/>
    <n v="72.099999999999994"/>
  </r>
  <r>
    <s v="USR-100855"/>
    <d v="2025-02-28T00:00:00"/>
    <x v="1"/>
    <s v="North"/>
    <s v="Mobile"/>
    <s v="Paid Search"/>
    <s v="Free"/>
    <n v="1"/>
    <n v="1"/>
    <n v="1"/>
    <n v="1"/>
    <n v="398.33"/>
    <n v="0"/>
    <n v="0"/>
    <n v="5"/>
    <n v="85.1"/>
  </r>
  <r>
    <s v="USR-100856"/>
    <d v="2025-05-27T00:00:00"/>
    <x v="1"/>
    <s v="North"/>
    <s v="Mobile"/>
    <s v="Organic"/>
    <s v="Basic"/>
    <n v="1"/>
    <n v="1"/>
    <n v="1"/>
    <n v="0"/>
    <n v="0"/>
    <n v="0"/>
    <n v="0"/>
    <m/>
    <n v="49.5"/>
  </r>
  <r>
    <s v="USR-100857"/>
    <d v="2025-05-17T00:00:00"/>
    <x v="1"/>
    <s v="South"/>
    <s v="Mobile"/>
    <s v="Paid Search"/>
    <s v="Premium"/>
    <n v="0"/>
    <n v="0"/>
    <n v="0"/>
    <n v="0"/>
    <n v="0"/>
    <n v="1"/>
    <n v="0"/>
    <m/>
    <n v="79"/>
  </r>
  <r>
    <s v="USR-100858"/>
    <d v="2025-01-10T00:00:00"/>
    <x v="1"/>
    <s v="West"/>
    <s v="Desktop"/>
    <s v="Social"/>
    <s v="Free"/>
    <n v="0"/>
    <n v="0"/>
    <n v="0"/>
    <n v="0"/>
    <n v="0"/>
    <n v="0"/>
    <n v="0"/>
    <m/>
    <n v="71.8"/>
  </r>
  <r>
    <s v="USR-100859"/>
    <d v="2025-04-22T00:00:00"/>
    <x v="1"/>
    <s v="North"/>
    <s v="Mobile"/>
    <s v="Email"/>
    <s v="Basic"/>
    <n v="1"/>
    <n v="1"/>
    <n v="1"/>
    <n v="1"/>
    <n v="1117.54"/>
    <n v="0"/>
    <n v="0"/>
    <n v="6"/>
    <n v="60.4"/>
  </r>
  <r>
    <s v="USR-100860"/>
    <d v="2025-03-02T00:00:00"/>
    <x v="1"/>
    <s v="South"/>
    <s v="Desktop"/>
    <s v="Organic"/>
    <s v="Basic"/>
    <n v="1"/>
    <n v="0"/>
    <n v="0"/>
    <n v="0"/>
    <n v="0"/>
    <n v="2"/>
    <n v="0"/>
    <m/>
    <n v="38.299999999999997"/>
  </r>
  <r>
    <s v="USR-100861"/>
    <d v="2025-03-23T00:00:00"/>
    <x v="1"/>
    <s v="East"/>
    <s v="Mobile"/>
    <s v="Paid Search"/>
    <s v="Free"/>
    <n v="1"/>
    <n v="1"/>
    <n v="1"/>
    <n v="0"/>
    <n v="0"/>
    <n v="0"/>
    <n v="0"/>
    <m/>
    <n v="79.599999999999994"/>
  </r>
  <r>
    <s v="USR-100862"/>
    <d v="2025-02-12T00:00:00"/>
    <x v="1"/>
    <s v="East"/>
    <s v="Mobile"/>
    <s v="Email"/>
    <s v="Free"/>
    <n v="1"/>
    <n v="1"/>
    <n v="1"/>
    <n v="0"/>
    <n v="0"/>
    <n v="0"/>
    <n v="0"/>
    <m/>
    <n v="71.900000000000006"/>
  </r>
  <r>
    <s v="USR-100863"/>
    <d v="2025-05-03T00:00:00"/>
    <x v="1"/>
    <s v="South"/>
    <s v="Mobile"/>
    <s v="Referral"/>
    <s v="Basic"/>
    <n v="1"/>
    <n v="0"/>
    <n v="0"/>
    <n v="0"/>
    <n v="0"/>
    <n v="0"/>
    <n v="0"/>
    <m/>
    <n v="54.6"/>
  </r>
  <r>
    <s v="USR-100864"/>
    <d v="2025-03-28T00:00:00"/>
    <x v="1"/>
    <s v="North"/>
    <s v="Desktop"/>
    <s v="Social"/>
    <s v="Free"/>
    <n v="1"/>
    <n v="0"/>
    <n v="0"/>
    <n v="0"/>
    <n v="0"/>
    <n v="3"/>
    <n v="0"/>
    <m/>
    <n v="49.3"/>
  </r>
  <r>
    <s v="USR-100865"/>
    <d v="2025-03-12T00:00:00"/>
    <x v="1"/>
    <s v="North"/>
    <s v="Mobile"/>
    <s v="Social"/>
    <s v="Basic"/>
    <n v="0"/>
    <n v="0"/>
    <n v="0"/>
    <n v="0"/>
    <n v="0"/>
    <n v="1"/>
    <n v="0"/>
    <m/>
    <n v="66.900000000000006"/>
  </r>
  <r>
    <s v="USR-100866"/>
    <d v="2025-04-27T00:00:00"/>
    <x v="1"/>
    <s v="East"/>
    <s v="Mobile"/>
    <s v="Paid Search"/>
    <s v="Free"/>
    <n v="1"/>
    <n v="0"/>
    <n v="0"/>
    <n v="0"/>
    <n v="0"/>
    <n v="1"/>
    <n v="0"/>
    <m/>
    <n v="77.8"/>
  </r>
  <r>
    <s v="USR-100867"/>
    <d v="2025-04-02T00:00:00"/>
    <x v="1"/>
    <s v="South"/>
    <s v="Mobile"/>
    <s v="Referral"/>
    <s v="Basic"/>
    <n v="1"/>
    <n v="0"/>
    <n v="0"/>
    <n v="0"/>
    <n v="0"/>
    <n v="0"/>
    <n v="0"/>
    <m/>
    <n v="63"/>
  </r>
  <r>
    <s v="USR-100868"/>
    <d v="2025-04-21T00:00:00"/>
    <x v="1"/>
    <s v="North"/>
    <s v="Mobile"/>
    <s v="Social"/>
    <s v="Free"/>
    <n v="0"/>
    <n v="0"/>
    <n v="0"/>
    <n v="0"/>
    <n v="0"/>
    <n v="0"/>
    <n v="0"/>
    <m/>
    <n v="79.8"/>
  </r>
  <r>
    <s v="USR-100869"/>
    <d v="2025-01-26T00:00:00"/>
    <x v="1"/>
    <s v="West"/>
    <s v="Desktop"/>
    <s v="Organic"/>
    <s v="Basic"/>
    <n v="0"/>
    <n v="0"/>
    <n v="0"/>
    <n v="0"/>
    <n v="0"/>
    <n v="0"/>
    <n v="0"/>
    <m/>
    <n v="69.900000000000006"/>
  </r>
  <r>
    <s v="USR-100870"/>
    <d v="2025-01-06T00:00:00"/>
    <x v="1"/>
    <s v="West"/>
    <s v="Mobile"/>
    <s v="Organic"/>
    <s v="Free"/>
    <n v="0"/>
    <n v="0"/>
    <n v="0"/>
    <n v="0"/>
    <n v="0"/>
    <n v="1"/>
    <n v="0"/>
    <m/>
    <n v="66.400000000000006"/>
  </r>
  <r>
    <s v="USR-100871"/>
    <d v="2025-02-07T00:00:00"/>
    <x v="1"/>
    <s v="East"/>
    <s v="Mobile"/>
    <s v="Organic"/>
    <s v="Free"/>
    <n v="1"/>
    <n v="0"/>
    <n v="0"/>
    <n v="0"/>
    <n v="0"/>
    <n v="0"/>
    <n v="0"/>
    <m/>
    <n v="27.6"/>
  </r>
  <r>
    <s v="USR-100872"/>
    <d v="2025-05-07T00:00:00"/>
    <x v="1"/>
    <s v="West"/>
    <s v="Mobile"/>
    <s v="Organic"/>
    <s v="Premium"/>
    <n v="1"/>
    <n v="0"/>
    <n v="0"/>
    <n v="0"/>
    <n v="0"/>
    <n v="1"/>
    <n v="0"/>
    <m/>
    <n v="56.5"/>
  </r>
  <r>
    <s v="USR-100873"/>
    <d v="2025-04-22T00:00:00"/>
    <x v="1"/>
    <s v="West"/>
    <m/>
    <s v="Social"/>
    <s v="Free"/>
    <n v="1"/>
    <n v="0"/>
    <n v="0"/>
    <n v="0"/>
    <n v="0"/>
    <n v="0"/>
    <n v="0"/>
    <m/>
    <n v="67.8"/>
  </r>
  <r>
    <s v="USR-100874"/>
    <d v="2025-05-04T00:00:00"/>
    <x v="1"/>
    <s v="West"/>
    <s v="Desktop"/>
    <s v="Social"/>
    <s v="Free"/>
    <n v="1"/>
    <n v="0"/>
    <n v="0"/>
    <n v="0"/>
    <n v="0"/>
    <n v="0"/>
    <n v="0"/>
    <m/>
    <n v="80"/>
  </r>
  <r>
    <s v="USR-100875"/>
    <d v="2025-05-16T00:00:00"/>
    <x v="1"/>
    <s v="South"/>
    <s v="Mobile"/>
    <s v="Social"/>
    <s v="Basic"/>
    <n v="1"/>
    <n v="1"/>
    <n v="1"/>
    <n v="0"/>
    <n v="0"/>
    <n v="1"/>
    <n v="0"/>
    <m/>
    <n v="80.900000000000006"/>
  </r>
  <r>
    <s v="USR-100876"/>
    <d v="2025-02-11T00:00:00"/>
    <x v="1"/>
    <s v="West"/>
    <s v="Mobile"/>
    <s v="Paid Search"/>
    <s v="Free"/>
    <n v="0"/>
    <n v="0"/>
    <n v="0"/>
    <n v="0"/>
    <n v="0"/>
    <n v="0"/>
    <n v="0"/>
    <m/>
    <n v="34.5"/>
  </r>
  <r>
    <s v="USR-100877"/>
    <d v="2025-05-09T00:00:00"/>
    <x v="1"/>
    <s v="East"/>
    <s v="Desktop"/>
    <s v="Organic"/>
    <s v="Premium"/>
    <n v="1"/>
    <n v="0"/>
    <n v="0"/>
    <n v="0"/>
    <n v="0"/>
    <n v="0"/>
    <n v="0"/>
    <m/>
    <n v="73.5"/>
  </r>
  <r>
    <s v="USR-100878"/>
    <d v="2025-02-09T00:00:00"/>
    <x v="1"/>
    <s v="South"/>
    <s v="Desktop"/>
    <s v="Paid Search"/>
    <s v="Free"/>
    <n v="1"/>
    <n v="1"/>
    <n v="0"/>
    <n v="0"/>
    <n v="0"/>
    <n v="0"/>
    <n v="0"/>
    <m/>
    <n v="70"/>
  </r>
  <r>
    <s v="USR-100879"/>
    <d v="2025-05-22T00:00:00"/>
    <x v="1"/>
    <s v="West"/>
    <s v="Mobile"/>
    <s v="Social"/>
    <s v="Basic"/>
    <n v="0"/>
    <n v="0"/>
    <n v="0"/>
    <n v="0"/>
    <n v="0"/>
    <n v="0"/>
    <n v="0"/>
    <m/>
    <n v="86.9"/>
  </r>
  <r>
    <s v="USR-100880"/>
    <d v="2025-05-24T00:00:00"/>
    <x v="1"/>
    <s v="East"/>
    <s v="Mobile"/>
    <s v="Social"/>
    <s v="Basic"/>
    <n v="0"/>
    <n v="0"/>
    <n v="0"/>
    <n v="0"/>
    <n v="0"/>
    <n v="0"/>
    <n v="0"/>
    <m/>
    <n v="66.900000000000006"/>
  </r>
  <r>
    <s v="USR-100881"/>
    <d v="2025-04-27T00:00:00"/>
    <x v="1"/>
    <s v="South"/>
    <s v="Desktop"/>
    <s v="Social"/>
    <s v="Basic"/>
    <n v="1"/>
    <n v="1"/>
    <n v="1"/>
    <n v="0"/>
    <n v="0"/>
    <n v="0"/>
    <n v="0"/>
    <m/>
    <n v="58.3"/>
  </r>
  <r>
    <s v="USR-100882"/>
    <d v="2025-03-19T00:00:00"/>
    <x v="1"/>
    <s v="East"/>
    <s v="Mobile"/>
    <s v="Paid Search"/>
    <s v="Free"/>
    <n v="1"/>
    <n v="0"/>
    <n v="0"/>
    <n v="0"/>
    <n v="0"/>
    <n v="0"/>
    <n v="0"/>
    <m/>
    <n v="45"/>
  </r>
  <r>
    <s v="USR-100883"/>
    <d v="2025-05-20T00:00:00"/>
    <x v="1"/>
    <s v="South"/>
    <s v="Mobile"/>
    <s v="Organic"/>
    <s v="Premium"/>
    <n v="0"/>
    <n v="0"/>
    <n v="0"/>
    <n v="0"/>
    <n v="0"/>
    <n v="0"/>
    <n v="0"/>
    <m/>
    <n v="60.8"/>
  </r>
  <r>
    <s v="USR-100884"/>
    <d v="2025-05-10T00:00:00"/>
    <x v="1"/>
    <s v="North"/>
    <s v="Mobile"/>
    <s v="Email"/>
    <s v="Premium"/>
    <n v="1"/>
    <n v="0"/>
    <n v="0"/>
    <n v="0"/>
    <n v="0"/>
    <n v="4"/>
    <n v="0"/>
    <m/>
    <n v="53.7"/>
  </r>
  <r>
    <s v="USR-100885"/>
    <d v="2025-03-29T00:00:00"/>
    <x v="1"/>
    <s v="East"/>
    <s v="Mobile"/>
    <s v="Social"/>
    <s v="Free"/>
    <n v="1"/>
    <n v="1"/>
    <n v="1"/>
    <n v="0"/>
    <n v="0"/>
    <n v="0"/>
    <n v="0"/>
    <m/>
    <n v="48.8"/>
  </r>
  <r>
    <s v="USR-100886"/>
    <d v="2025-04-03T00:00:00"/>
    <x v="1"/>
    <s v="West"/>
    <s v="Desktop"/>
    <s v="Referral"/>
    <s v="Basic"/>
    <n v="0"/>
    <n v="0"/>
    <n v="0"/>
    <n v="0"/>
    <n v="0"/>
    <n v="0"/>
    <n v="0"/>
    <m/>
    <n v="52.9"/>
  </r>
  <r>
    <s v="USR-100887"/>
    <d v="2025-05-30T00:00:00"/>
    <x v="1"/>
    <s v="South"/>
    <s v="Mobile"/>
    <s v="Email"/>
    <s v="Free"/>
    <n v="1"/>
    <n v="0"/>
    <n v="0"/>
    <n v="0"/>
    <n v="0"/>
    <n v="0"/>
    <n v="0"/>
    <m/>
    <n v="42.4"/>
  </r>
  <r>
    <s v="USR-100888"/>
    <d v="2025-04-06T00:00:00"/>
    <x v="1"/>
    <s v="East"/>
    <s v="Desktop"/>
    <s v="Email"/>
    <s v="Free"/>
    <n v="1"/>
    <n v="0"/>
    <n v="0"/>
    <n v="0"/>
    <n v="0"/>
    <n v="0"/>
    <n v="0"/>
    <m/>
    <n v="58.7"/>
  </r>
  <r>
    <s v="USR-100889"/>
    <d v="2025-03-14T00:00:00"/>
    <x v="1"/>
    <s v="North"/>
    <s v="Mobile"/>
    <s v="Referral"/>
    <s v="Free"/>
    <n v="1"/>
    <n v="1"/>
    <n v="1"/>
    <n v="1"/>
    <n v="2064.5500000000002"/>
    <n v="0"/>
    <n v="0"/>
    <n v="1"/>
    <n v="67.8"/>
  </r>
  <r>
    <s v="USR-100890"/>
    <d v="2025-02-24T00:00:00"/>
    <x v="1"/>
    <s v="South"/>
    <s v="Desktop"/>
    <s v="Paid Search"/>
    <s v="Basic"/>
    <n v="1"/>
    <n v="0"/>
    <n v="0"/>
    <n v="0"/>
    <n v="0"/>
    <n v="0"/>
    <n v="0"/>
    <m/>
    <n v="62.6"/>
  </r>
  <r>
    <s v="USR-100891"/>
    <d v="2025-03-04T00:00:00"/>
    <x v="1"/>
    <s v="West"/>
    <s v="Mobile"/>
    <s v="Email"/>
    <s v="Basic"/>
    <n v="1"/>
    <n v="0"/>
    <n v="0"/>
    <n v="0"/>
    <n v="0"/>
    <n v="0"/>
    <n v="0"/>
    <m/>
    <n v="82.4"/>
  </r>
  <r>
    <s v="USR-100892"/>
    <d v="2025-04-02T00:00:00"/>
    <x v="1"/>
    <s v="North"/>
    <s v="Mobile"/>
    <s v="Organic"/>
    <s v="Free"/>
    <n v="1"/>
    <n v="1"/>
    <n v="1"/>
    <n v="0"/>
    <n v="0"/>
    <n v="0"/>
    <n v="0"/>
    <m/>
    <n v="50.4"/>
  </r>
  <r>
    <s v="USR-100893"/>
    <d v="2025-05-11T00:00:00"/>
    <x v="1"/>
    <s v="North"/>
    <s v="Mobile"/>
    <s v="Email"/>
    <s v="Premium"/>
    <n v="0"/>
    <n v="0"/>
    <n v="0"/>
    <n v="0"/>
    <n v="0"/>
    <n v="0"/>
    <n v="0"/>
    <m/>
    <n v="68.400000000000006"/>
  </r>
  <r>
    <s v="USR-100894"/>
    <d v="2025-05-10T00:00:00"/>
    <x v="1"/>
    <s v="West"/>
    <s v="Tablet"/>
    <s v="Paid Search"/>
    <s v="Basic"/>
    <n v="1"/>
    <n v="1"/>
    <n v="1"/>
    <n v="0"/>
    <n v="0"/>
    <n v="0"/>
    <n v="0"/>
    <m/>
    <n v="58.8"/>
  </r>
  <r>
    <s v="USR-100895"/>
    <d v="2025-05-06T00:00:00"/>
    <x v="1"/>
    <s v="West"/>
    <s v="Mobile"/>
    <s v="Referral"/>
    <s v="Free"/>
    <n v="1"/>
    <n v="1"/>
    <n v="0"/>
    <n v="0"/>
    <n v="0"/>
    <n v="2"/>
    <n v="0"/>
    <m/>
    <n v="28.3"/>
  </r>
  <r>
    <s v="USR-100896"/>
    <d v="2025-02-11T00:00:00"/>
    <x v="1"/>
    <s v="West"/>
    <s v="Desktop"/>
    <s v="Paid Search"/>
    <s v="Free"/>
    <n v="1"/>
    <n v="1"/>
    <n v="0"/>
    <n v="0"/>
    <n v="0"/>
    <n v="0"/>
    <n v="0"/>
    <m/>
    <n v="44.1"/>
  </r>
  <r>
    <s v="USR-100897"/>
    <d v="2025-05-09T00:00:00"/>
    <x v="1"/>
    <s v="South"/>
    <s v="Mobile"/>
    <s v="Paid Search"/>
    <s v="Premium"/>
    <n v="1"/>
    <n v="1"/>
    <n v="0"/>
    <n v="0"/>
    <n v="0"/>
    <n v="0"/>
    <n v="0"/>
    <m/>
    <n v="66.7"/>
  </r>
  <r>
    <s v="USR-100898"/>
    <d v="2025-02-02T00:00:00"/>
    <x v="1"/>
    <s v="South"/>
    <s v="Mobile"/>
    <m/>
    <s v="Free"/>
    <n v="1"/>
    <n v="0"/>
    <n v="0"/>
    <n v="0"/>
    <n v="0"/>
    <n v="0"/>
    <n v="0"/>
    <m/>
    <n v="100"/>
  </r>
  <r>
    <s v="USR-100899"/>
    <d v="2025-04-03T00:00:00"/>
    <x v="1"/>
    <s v="South"/>
    <s v="Mobile"/>
    <s v="Social"/>
    <s v="Free"/>
    <n v="1"/>
    <n v="1"/>
    <n v="0"/>
    <n v="0"/>
    <n v="0"/>
    <n v="0"/>
    <n v="0"/>
    <m/>
    <n v="87.5"/>
  </r>
  <r>
    <s v="USR-100900"/>
    <d v="2025-02-15T00:00:00"/>
    <x v="1"/>
    <s v="North"/>
    <s v="Desktop"/>
    <s v="Organic"/>
    <s v="Basic"/>
    <n v="1"/>
    <n v="0"/>
    <n v="0"/>
    <n v="0"/>
    <n v="0"/>
    <n v="2"/>
    <n v="0"/>
    <m/>
    <n v="65.400000000000006"/>
  </r>
  <r>
    <s v="USR-100901"/>
    <d v="2025-04-18T00:00:00"/>
    <x v="1"/>
    <s v="South"/>
    <s v="Desktop"/>
    <s v="Organic"/>
    <s v="Free"/>
    <n v="1"/>
    <n v="0"/>
    <n v="0"/>
    <n v="0"/>
    <n v="0"/>
    <n v="0"/>
    <n v="0"/>
    <m/>
    <n v="22.9"/>
  </r>
  <r>
    <s v="USR-100902"/>
    <d v="2025-03-14T00:00:00"/>
    <x v="1"/>
    <s v="West"/>
    <s v="Desktop"/>
    <s v="Organic"/>
    <s v="Premium"/>
    <n v="0"/>
    <n v="0"/>
    <n v="0"/>
    <n v="0"/>
    <n v="0"/>
    <n v="0"/>
    <n v="0"/>
    <m/>
    <n v="64.599999999999994"/>
  </r>
  <r>
    <s v="USR-100903"/>
    <d v="2025-03-29T00:00:00"/>
    <x v="1"/>
    <s v="South"/>
    <s v="Mobile"/>
    <s v="Referral"/>
    <s v="Free"/>
    <n v="1"/>
    <n v="0"/>
    <n v="0"/>
    <n v="0"/>
    <n v="0"/>
    <n v="2"/>
    <n v="0"/>
    <m/>
    <n v="54.4"/>
  </r>
  <r>
    <s v="USR-100904"/>
    <d v="2025-02-13T00:00:00"/>
    <x v="1"/>
    <s v="North"/>
    <s v="Desktop"/>
    <s v="Organic"/>
    <s v="Free"/>
    <n v="1"/>
    <n v="1"/>
    <n v="1"/>
    <n v="0"/>
    <n v="0"/>
    <n v="0"/>
    <n v="0"/>
    <m/>
    <n v="56.8"/>
  </r>
  <r>
    <s v="USR-100905"/>
    <d v="2025-01-23T00:00:00"/>
    <x v="1"/>
    <s v="South"/>
    <s v="Mobile"/>
    <s v="Paid Search"/>
    <s v="Free"/>
    <n v="1"/>
    <n v="1"/>
    <n v="1"/>
    <n v="1"/>
    <n v="341.38"/>
    <n v="0"/>
    <n v="0"/>
    <n v="2"/>
    <n v="63.6"/>
  </r>
  <r>
    <s v="USR-100906"/>
    <d v="2025-02-24T00:00:00"/>
    <x v="1"/>
    <s v="East"/>
    <s v="Mobile"/>
    <s v="Social"/>
    <s v="Free"/>
    <n v="1"/>
    <n v="0"/>
    <n v="0"/>
    <n v="0"/>
    <n v="0"/>
    <n v="0"/>
    <n v="0"/>
    <m/>
    <n v="58.2"/>
  </r>
  <r>
    <s v="USR-100907"/>
    <d v="2025-02-28T00:00:00"/>
    <x v="1"/>
    <s v="West"/>
    <s v="Mobile"/>
    <s v="Paid Search"/>
    <s v="Free"/>
    <n v="1"/>
    <n v="1"/>
    <n v="0"/>
    <n v="0"/>
    <n v="0"/>
    <n v="0"/>
    <n v="0"/>
    <m/>
    <n v="54.6"/>
  </r>
  <r>
    <s v="USR-100908"/>
    <d v="2025-01-07T00:00:00"/>
    <x v="1"/>
    <s v="West"/>
    <s v="Tablet"/>
    <s v="Organic"/>
    <s v="Basic"/>
    <n v="1"/>
    <n v="0"/>
    <n v="0"/>
    <n v="0"/>
    <n v="0"/>
    <n v="0"/>
    <n v="0"/>
    <m/>
    <n v="81.900000000000006"/>
  </r>
  <r>
    <s v="USR-100909"/>
    <d v="2025-03-21T00:00:00"/>
    <x v="1"/>
    <s v="West"/>
    <s v="Desktop"/>
    <s v="Email"/>
    <s v="Free"/>
    <n v="1"/>
    <n v="0"/>
    <n v="0"/>
    <n v="0"/>
    <n v="0"/>
    <n v="3"/>
    <n v="0"/>
    <m/>
    <n v="53.3"/>
  </r>
  <r>
    <s v="USR-100910"/>
    <d v="2025-02-18T00:00:00"/>
    <x v="1"/>
    <s v="North"/>
    <s v="Desktop"/>
    <s v="Organic"/>
    <s v="Basic"/>
    <n v="0"/>
    <n v="0"/>
    <n v="0"/>
    <n v="0"/>
    <n v="0"/>
    <n v="0"/>
    <n v="0"/>
    <m/>
    <n v="54.2"/>
  </r>
  <r>
    <s v="USR-100911"/>
    <d v="2025-01-05T00:00:00"/>
    <x v="1"/>
    <s v="North"/>
    <s v="Mobile"/>
    <s v="Paid Search"/>
    <s v="Free"/>
    <n v="1"/>
    <n v="1"/>
    <n v="0"/>
    <n v="0"/>
    <n v="0"/>
    <n v="0"/>
    <n v="0"/>
    <m/>
    <n v="65.599999999999994"/>
  </r>
  <r>
    <s v="USR-100912"/>
    <d v="2025-03-11T00:00:00"/>
    <x v="1"/>
    <s v="East"/>
    <s v="Desktop"/>
    <s v="Organic"/>
    <s v="Basic"/>
    <n v="1"/>
    <n v="0"/>
    <n v="0"/>
    <n v="0"/>
    <n v="0"/>
    <n v="1"/>
    <n v="0"/>
    <m/>
    <n v="56.5"/>
  </r>
  <r>
    <s v="USR-100913"/>
    <d v="2025-01-09T00:00:00"/>
    <x v="1"/>
    <s v="North"/>
    <s v="Desktop"/>
    <s v="Organic"/>
    <s v="Basic"/>
    <n v="1"/>
    <n v="0"/>
    <n v="0"/>
    <n v="0"/>
    <n v="0"/>
    <n v="0"/>
    <n v="0"/>
    <m/>
    <n v="59.7"/>
  </r>
  <r>
    <s v="USR-100914"/>
    <d v="2025-01-08T00:00:00"/>
    <x v="1"/>
    <s v="South"/>
    <s v="Mobile"/>
    <s v="Organic"/>
    <s v="Free"/>
    <n v="1"/>
    <n v="1"/>
    <n v="1"/>
    <n v="0"/>
    <n v="0"/>
    <n v="0"/>
    <n v="0"/>
    <m/>
    <n v="72.5"/>
  </r>
  <r>
    <s v="USR-100915"/>
    <d v="2025-05-01T00:00:00"/>
    <x v="1"/>
    <s v="East"/>
    <s v="Desktop"/>
    <s v="Paid Search"/>
    <s v="Free"/>
    <n v="1"/>
    <n v="0"/>
    <n v="0"/>
    <n v="0"/>
    <n v="0"/>
    <n v="0"/>
    <n v="0"/>
    <m/>
    <n v="64.3"/>
  </r>
  <r>
    <s v="USR-100916"/>
    <d v="2025-03-03T00:00:00"/>
    <x v="1"/>
    <s v="South"/>
    <s v="Mobile"/>
    <s v="Social"/>
    <s v="Free"/>
    <n v="1"/>
    <n v="0"/>
    <n v="0"/>
    <n v="0"/>
    <n v="0"/>
    <n v="0"/>
    <n v="0"/>
    <m/>
    <n v="64.5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918"/>
    <d v="2025-02-17T00:00:00"/>
    <x v="1"/>
    <s v="South"/>
    <s v="Desktop"/>
    <s v="Organic"/>
    <s v="Basic"/>
    <n v="0"/>
    <n v="0"/>
    <n v="0"/>
    <n v="0"/>
    <n v="0"/>
    <n v="0"/>
    <n v="0"/>
    <m/>
    <n v="58.4"/>
  </r>
  <r>
    <s v="USR-100919"/>
    <d v="2025-05-21T00:00:00"/>
    <x v="1"/>
    <s v="East"/>
    <s v="Mobile"/>
    <s v="Organic"/>
    <s v="Basic"/>
    <n v="1"/>
    <n v="0"/>
    <n v="0"/>
    <n v="0"/>
    <n v="0"/>
    <n v="0"/>
    <n v="0"/>
    <m/>
    <n v="56.6"/>
  </r>
  <r>
    <s v="USR-100920"/>
    <d v="2025-01-30T00:00:00"/>
    <x v="1"/>
    <s v="South"/>
    <s v="Mobile"/>
    <s v="Organic"/>
    <s v="Free"/>
    <n v="1"/>
    <n v="0"/>
    <n v="0"/>
    <n v="0"/>
    <n v="0"/>
    <n v="0"/>
    <n v="0"/>
    <m/>
    <n v="61.8"/>
  </r>
  <r>
    <s v="USR-100921"/>
    <d v="2025-03-20T00:00:00"/>
    <x v="1"/>
    <s v="West"/>
    <s v="Mobile"/>
    <s v="Email"/>
    <s v="Free"/>
    <n v="1"/>
    <n v="1"/>
    <n v="1"/>
    <n v="1"/>
    <n v="513.52"/>
    <n v="0"/>
    <n v="0"/>
    <n v="8"/>
    <n v="43.4"/>
  </r>
  <r>
    <s v="USR-100922"/>
    <d v="2025-04-10T00:00:00"/>
    <x v="1"/>
    <s v="West"/>
    <s v="Tablet"/>
    <s v="Paid Search"/>
    <s v="Free"/>
    <n v="0"/>
    <n v="0"/>
    <n v="0"/>
    <n v="0"/>
    <n v="0"/>
    <n v="0"/>
    <n v="0"/>
    <m/>
    <n v="43"/>
  </r>
  <r>
    <s v="USR-100923"/>
    <d v="2025-03-07T00:00:00"/>
    <x v="1"/>
    <s v="North"/>
    <s v="Desktop"/>
    <s v="Organic"/>
    <s v="Free"/>
    <n v="1"/>
    <n v="1"/>
    <n v="1"/>
    <n v="0"/>
    <n v="0"/>
    <n v="0"/>
    <n v="0"/>
    <m/>
    <n v="51.1"/>
  </r>
  <r>
    <s v="USR-100924"/>
    <d v="2025-03-12T00:00:00"/>
    <x v="1"/>
    <s v="West"/>
    <s v="Mobile"/>
    <s v="Email"/>
    <s v="Basic"/>
    <n v="1"/>
    <n v="0"/>
    <n v="0"/>
    <n v="0"/>
    <n v="0"/>
    <n v="0"/>
    <n v="0"/>
    <m/>
    <n v="48.8"/>
  </r>
  <r>
    <s v="USR-100925"/>
    <d v="2025-02-24T00:00:00"/>
    <x v="1"/>
    <s v="East"/>
    <s v="Mobile"/>
    <s v="Referral"/>
    <s v="Free"/>
    <n v="0"/>
    <n v="0"/>
    <n v="0"/>
    <n v="0"/>
    <n v="0"/>
    <n v="0"/>
    <n v="0"/>
    <m/>
    <n v="73.2"/>
  </r>
  <r>
    <s v="USR-100926"/>
    <d v="2025-01-15T00:00:00"/>
    <x v="1"/>
    <s v="East"/>
    <s v="Mobile"/>
    <s v="Referral"/>
    <s v="Free"/>
    <n v="1"/>
    <n v="1"/>
    <n v="1"/>
    <n v="0"/>
    <n v="0"/>
    <n v="0"/>
    <n v="0"/>
    <m/>
    <n v="80"/>
  </r>
  <r>
    <s v="USR-100927"/>
    <d v="2025-01-07T00:00:00"/>
    <x v="1"/>
    <s v="North"/>
    <s v="Desktop"/>
    <s v="Paid Search"/>
    <s v="Free"/>
    <n v="1"/>
    <n v="0"/>
    <n v="0"/>
    <n v="0"/>
    <n v="0"/>
    <n v="0"/>
    <n v="0"/>
    <m/>
    <n v="52.3"/>
  </r>
  <r>
    <s v="USR-100928"/>
    <d v="2025-03-02T00:00:00"/>
    <x v="1"/>
    <s v="North"/>
    <s v="Desktop"/>
    <s v="Organic"/>
    <s v="Free"/>
    <n v="0"/>
    <n v="0"/>
    <n v="0"/>
    <n v="0"/>
    <n v="0"/>
    <n v="0"/>
    <n v="0"/>
    <m/>
    <n v="49.1"/>
  </r>
  <r>
    <s v="USR-100929"/>
    <d v="2025-01-05T00:00:00"/>
    <x v="1"/>
    <s v="South"/>
    <s v="Desktop"/>
    <s v="Referral"/>
    <s v="Basic"/>
    <n v="0"/>
    <n v="0"/>
    <n v="0"/>
    <n v="0"/>
    <n v="0"/>
    <n v="0"/>
    <n v="0"/>
    <m/>
    <n v="45.3"/>
  </r>
  <r>
    <s v="USR-100930"/>
    <d v="2025-03-03T00:00:00"/>
    <x v="1"/>
    <s v="South"/>
    <s v="Mobile"/>
    <s v="Organic"/>
    <s v="Free"/>
    <n v="1"/>
    <n v="1"/>
    <n v="0"/>
    <n v="0"/>
    <n v="0"/>
    <n v="0"/>
    <n v="0"/>
    <m/>
    <n v="49.1"/>
  </r>
  <r>
    <s v="USR-100931"/>
    <d v="2025-03-31T00:00:00"/>
    <x v="1"/>
    <s v="East"/>
    <s v="Desktop"/>
    <s v="Referral"/>
    <s v="Free"/>
    <n v="1"/>
    <n v="1"/>
    <n v="1"/>
    <n v="1"/>
    <n v="476.44"/>
    <n v="0"/>
    <n v="0"/>
    <n v="3"/>
    <n v="88.6"/>
  </r>
  <r>
    <s v="USR-100932"/>
    <d v="2025-01-14T00:00:00"/>
    <x v="1"/>
    <s v="East"/>
    <s v="Desktop"/>
    <s v="Paid Search"/>
    <s v="Premium"/>
    <n v="0"/>
    <n v="0"/>
    <n v="0"/>
    <n v="0"/>
    <n v="0"/>
    <n v="1"/>
    <n v="0"/>
    <m/>
    <n v="54.4"/>
  </r>
  <r>
    <s v="USR-100933"/>
    <d v="2025-01-15T00:00:00"/>
    <x v="1"/>
    <s v="West"/>
    <s v="Desktop"/>
    <s v="Paid Search"/>
    <s v="Premium"/>
    <n v="1"/>
    <n v="0"/>
    <n v="0"/>
    <n v="0"/>
    <n v="0"/>
    <n v="0"/>
    <n v="0"/>
    <m/>
    <n v="72.900000000000006"/>
  </r>
  <r>
    <s v="USR-100934"/>
    <d v="2025-04-25T00:00:00"/>
    <x v="1"/>
    <s v="West"/>
    <s v="Desktop"/>
    <s v="Organic"/>
    <s v="Free"/>
    <n v="1"/>
    <n v="0"/>
    <n v="0"/>
    <n v="0"/>
    <n v="0"/>
    <n v="0"/>
    <n v="0"/>
    <m/>
    <n v="53.2"/>
  </r>
  <r>
    <s v="USR-100935"/>
    <d v="2025-03-21T00:00:00"/>
    <x v="1"/>
    <s v="East"/>
    <s v="Mobile"/>
    <s v="Organic"/>
    <s v="Basic"/>
    <n v="1"/>
    <n v="1"/>
    <n v="0"/>
    <n v="0"/>
    <n v="0"/>
    <n v="0"/>
    <n v="0"/>
    <m/>
    <n v="48.7"/>
  </r>
  <r>
    <s v="USR-100936"/>
    <d v="2025-04-26T00:00:00"/>
    <x v="1"/>
    <s v="South"/>
    <s v="Mobile"/>
    <s v="Paid Search"/>
    <s v="Basic"/>
    <n v="1"/>
    <n v="1"/>
    <n v="1"/>
    <n v="0"/>
    <n v="0"/>
    <n v="0"/>
    <n v="0"/>
    <m/>
    <n v="59.9"/>
  </r>
  <r>
    <s v="USR-100937"/>
    <d v="2025-05-21T00:00:00"/>
    <x v="1"/>
    <s v="South"/>
    <s v="Desktop"/>
    <m/>
    <s v="Basic"/>
    <n v="0"/>
    <n v="0"/>
    <n v="0"/>
    <n v="0"/>
    <n v="0"/>
    <n v="0"/>
    <n v="0"/>
    <m/>
    <n v="82"/>
  </r>
  <r>
    <s v="USR-100938"/>
    <d v="2025-04-18T00:00:00"/>
    <x v="1"/>
    <s v="East"/>
    <s v="Mobile"/>
    <s v="Paid Search"/>
    <s v="Free"/>
    <n v="0"/>
    <n v="0"/>
    <n v="0"/>
    <n v="0"/>
    <n v="0"/>
    <n v="0"/>
    <n v="0"/>
    <m/>
    <n v="72.099999999999994"/>
  </r>
  <r>
    <s v="USR-100939"/>
    <d v="2025-01-29T00:00:00"/>
    <x v="1"/>
    <s v="North"/>
    <s v="Desktop"/>
    <s v="Email"/>
    <s v="Premium"/>
    <n v="1"/>
    <n v="1"/>
    <n v="0"/>
    <n v="0"/>
    <n v="0"/>
    <n v="0"/>
    <n v="0"/>
    <m/>
    <n v="68.3"/>
  </r>
  <r>
    <s v="USR-100940"/>
    <d v="2025-05-28T00:00:00"/>
    <x v="1"/>
    <s v="West"/>
    <s v="Mobile"/>
    <s v="Organic"/>
    <s v="Premium"/>
    <n v="0"/>
    <n v="0"/>
    <n v="0"/>
    <n v="0"/>
    <n v="0"/>
    <n v="0"/>
    <n v="0"/>
    <m/>
    <n v="100"/>
  </r>
  <r>
    <s v="USR-100941"/>
    <d v="2025-01-15T00:00:00"/>
    <x v="1"/>
    <s v="East"/>
    <s v="Mobile"/>
    <s v="Email"/>
    <s v="Free"/>
    <n v="1"/>
    <n v="1"/>
    <n v="1"/>
    <n v="0"/>
    <n v="0"/>
    <n v="2"/>
    <n v="0"/>
    <m/>
    <n v="76.5"/>
  </r>
  <r>
    <s v="USR-100942"/>
    <d v="2025-01-03T00:00:00"/>
    <x v="1"/>
    <s v="South"/>
    <s v="Mobile"/>
    <s v="Organic"/>
    <s v="Basic"/>
    <n v="1"/>
    <n v="1"/>
    <n v="0"/>
    <n v="0"/>
    <n v="0"/>
    <n v="0"/>
    <n v="0"/>
    <m/>
    <n v="62"/>
  </r>
  <r>
    <s v="USR-100943"/>
    <d v="2025-02-04T00:00:00"/>
    <x v="1"/>
    <s v="South"/>
    <s v="Mobile"/>
    <s v="Paid Search"/>
    <s v="Free"/>
    <n v="1"/>
    <n v="1"/>
    <n v="1"/>
    <n v="1"/>
    <n v="324.68"/>
    <n v="1"/>
    <n v="0"/>
    <n v="7"/>
    <n v="50.1"/>
  </r>
  <r>
    <s v="USR-100944"/>
    <d v="2025-02-22T00:00:00"/>
    <x v="1"/>
    <s v="South"/>
    <s v="Mobile"/>
    <s v="Referral"/>
    <s v="Premium"/>
    <n v="1"/>
    <n v="0"/>
    <n v="0"/>
    <n v="0"/>
    <n v="0"/>
    <n v="0"/>
    <n v="0"/>
    <m/>
    <n v="62.1"/>
  </r>
  <r>
    <s v="USR-100945"/>
    <d v="2025-05-06T00:00:00"/>
    <x v="1"/>
    <s v="West"/>
    <s v="Mobile"/>
    <s v="Organic"/>
    <s v="Basic"/>
    <n v="1"/>
    <n v="0"/>
    <n v="0"/>
    <n v="0"/>
    <n v="0"/>
    <n v="0"/>
    <n v="0"/>
    <m/>
    <n v="49.7"/>
  </r>
  <r>
    <s v="USR-100946"/>
    <d v="2025-01-31T00:00:00"/>
    <x v="1"/>
    <s v="South"/>
    <s v="Mobile"/>
    <s v="Organic"/>
    <s v="Free"/>
    <n v="1"/>
    <n v="0"/>
    <n v="0"/>
    <n v="0"/>
    <n v="0"/>
    <n v="3"/>
    <n v="0"/>
    <m/>
    <n v="71.099999999999994"/>
  </r>
  <r>
    <s v="USR-100947"/>
    <d v="2025-02-18T00:00:00"/>
    <x v="1"/>
    <s v="North"/>
    <s v="Mobile"/>
    <s v="Social"/>
    <s v="Basic"/>
    <n v="0"/>
    <n v="0"/>
    <n v="0"/>
    <n v="0"/>
    <n v="0"/>
    <n v="0"/>
    <n v="0"/>
    <m/>
    <n v="70.8"/>
  </r>
  <r>
    <s v="USR-100948"/>
    <d v="2025-04-23T00:00:00"/>
    <x v="1"/>
    <s v="East"/>
    <s v="Mobile"/>
    <s v="Paid Search"/>
    <s v="Free"/>
    <n v="1"/>
    <n v="1"/>
    <n v="1"/>
    <n v="1"/>
    <n v="301.98"/>
    <n v="0"/>
    <n v="0"/>
    <n v="10"/>
    <n v="52.2"/>
  </r>
  <r>
    <s v="USR-100949"/>
    <d v="2025-02-06T00:00:00"/>
    <x v="1"/>
    <s v="North"/>
    <s v="Mobile"/>
    <s v="Organic"/>
    <s v="Free"/>
    <n v="1"/>
    <n v="1"/>
    <n v="1"/>
    <n v="0"/>
    <n v="0"/>
    <n v="0"/>
    <n v="0"/>
    <m/>
    <n v="73"/>
  </r>
  <r>
    <s v="USR-100950"/>
    <d v="2025-04-26T00:00:00"/>
    <x v="1"/>
    <s v="South"/>
    <s v="Desktop"/>
    <s v="Paid Search"/>
    <s v="Free"/>
    <n v="0"/>
    <n v="0"/>
    <n v="0"/>
    <n v="0"/>
    <n v="0"/>
    <n v="0"/>
    <n v="0"/>
    <m/>
    <n v="78.2"/>
  </r>
  <r>
    <s v="USR-100951"/>
    <d v="2025-03-30T00:00:00"/>
    <x v="1"/>
    <s v="West"/>
    <s v="Desktop"/>
    <s v="Paid Search"/>
    <s v="Basic"/>
    <n v="1"/>
    <n v="0"/>
    <n v="0"/>
    <n v="0"/>
    <n v="0"/>
    <n v="0"/>
    <n v="0"/>
    <m/>
    <n v="68.8"/>
  </r>
  <r>
    <s v="USR-100952"/>
    <d v="2025-04-13T00:00:00"/>
    <x v="1"/>
    <s v="West"/>
    <s v="Mobile"/>
    <m/>
    <s v="Premium"/>
    <n v="1"/>
    <n v="0"/>
    <n v="0"/>
    <n v="0"/>
    <n v="0"/>
    <n v="0"/>
    <n v="0"/>
    <m/>
    <n v="57.1"/>
  </r>
  <r>
    <s v="USR-100953"/>
    <d v="2025-04-04T00:00:00"/>
    <x v="1"/>
    <s v="East"/>
    <s v="Desktop"/>
    <s v="Organic"/>
    <s v="Premium"/>
    <n v="0"/>
    <n v="0"/>
    <n v="0"/>
    <n v="0"/>
    <n v="0"/>
    <n v="1"/>
    <n v="0"/>
    <m/>
    <n v="74.599999999999994"/>
  </r>
  <r>
    <s v="USR-100954"/>
    <d v="2025-04-03T00:00:00"/>
    <x v="1"/>
    <s v="North"/>
    <s v="Desktop"/>
    <s v="Referral"/>
    <s v="Free"/>
    <n v="1"/>
    <n v="0"/>
    <n v="0"/>
    <n v="0"/>
    <n v="0"/>
    <n v="1"/>
    <n v="0"/>
    <m/>
    <n v="64.099999999999994"/>
  </r>
  <r>
    <s v="USR-100955"/>
    <d v="2025-03-14T00:00:00"/>
    <x v="1"/>
    <s v="West"/>
    <s v="Mobile"/>
    <s v="Paid Search"/>
    <s v="Premium"/>
    <n v="1"/>
    <n v="0"/>
    <n v="0"/>
    <n v="0"/>
    <n v="0"/>
    <n v="0"/>
    <n v="0"/>
    <m/>
    <n v="67.3"/>
  </r>
  <r>
    <s v="USR-100956"/>
    <d v="2025-01-14T00:00:00"/>
    <x v="1"/>
    <s v="West"/>
    <s v="Mobile"/>
    <s v="Referral"/>
    <s v="Free"/>
    <n v="0"/>
    <n v="0"/>
    <n v="0"/>
    <n v="0"/>
    <n v="0"/>
    <n v="2"/>
    <n v="0"/>
    <m/>
    <n v="41"/>
  </r>
  <r>
    <s v="USR-100957"/>
    <d v="2025-05-05T00:00:00"/>
    <x v="1"/>
    <s v="West"/>
    <s v="Mobile"/>
    <s v="Paid Search"/>
    <s v="Free"/>
    <n v="0"/>
    <n v="0"/>
    <n v="0"/>
    <n v="0"/>
    <n v="0"/>
    <n v="0"/>
    <n v="0"/>
    <m/>
    <n v="48.1"/>
  </r>
  <r>
    <s v="USR-100958"/>
    <d v="2025-05-02T00:00:00"/>
    <x v="1"/>
    <s v="West"/>
    <s v="Desktop"/>
    <s v="Social"/>
    <s v="Free"/>
    <n v="0"/>
    <n v="0"/>
    <n v="0"/>
    <n v="0"/>
    <n v="0"/>
    <n v="1"/>
    <n v="0"/>
    <m/>
    <n v="60.8"/>
  </r>
  <r>
    <s v="USR-100959"/>
    <d v="2025-05-21T00:00:00"/>
    <x v="1"/>
    <s v="East"/>
    <s v="Mobile"/>
    <s v="Organic"/>
    <s v="Free"/>
    <n v="1"/>
    <n v="0"/>
    <n v="0"/>
    <n v="0"/>
    <n v="0"/>
    <n v="0"/>
    <n v="0"/>
    <m/>
    <n v="63.1"/>
  </r>
  <r>
    <s v="USR-100960"/>
    <d v="2025-05-16T00:00:00"/>
    <x v="1"/>
    <s v="North"/>
    <s v="Mobile"/>
    <s v="Referral"/>
    <s v="Premium"/>
    <n v="1"/>
    <n v="0"/>
    <n v="0"/>
    <n v="0"/>
    <n v="0"/>
    <n v="2"/>
    <n v="0"/>
    <m/>
    <n v="49.7"/>
  </r>
  <r>
    <s v="USR-100961"/>
    <d v="2025-05-24T00:00:00"/>
    <x v="1"/>
    <s v="East"/>
    <s v="Desktop"/>
    <s v="Organic"/>
    <s v="Premium"/>
    <n v="1"/>
    <n v="1"/>
    <n v="1"/>
    <n v="0"/>
    <n v="0"/>
    <n v="1"/>
    <n v="0"/>
    <m/>
    <n v="83.4"/>
  </r>
  <r>
    <s v="USR-100962"/>
    <d v="2025-03-18T00:00:00"/>
    <x v="1"/>
    <s v="East"/>
    <s v="Mobile"/>
    <s v="Organic"/>
    <s v="Basic"/>
    <n v="1"/>
    <n v="0"/>
    <n v="0"/>
    <n v="0"/>
    <n v="0"/>
    <n v="0"/>
    <n v="0"/>
    <m/>
    <n v="75.900000000000006"/>
  </r>
  <r>
    <s v="USR-100963"/>
    <d v="2025-01-11T00:00:00"/>
    <x v="1"/>
    <s v="East"/>
    <s v="Desktop"/>
    <s v="Paid Search"/>
    <s v="Free"/>
    <n v="0"/>
    <n v="0"/>
    <n v="0"/>
    <n v="0"/>
    <n v="0"/>
    <n v="1"/>
    <n v="0"/>
    <m/>
    <n v="71.8"/>
  </r>
  <r>
    <s v="USR-100964"/>
    <d v="2025-02-09T00:00:00"/>
    <x v="1"/>
    <s v="South"/>
    <s v="Mobile"/>
    <s v="Organic"/>
    <s v="Basic"/>
    <n v="0"/>
    <n v="0"/>
    <n v="0"/>
    <n v="0"/>
    <n v="0"/>
    <n v="0"/>
    <n v="0"/>
    <m/>
    <n v="37.9"/>
  </r>
  <r>
    <s v="USR-100965"/>
    <d v="2025-03-01T00:00:00"/>
    <x v="1"/>
    <s v="North"/>
    <s v="Desktop"/>
    <s v="Social"/>
    <s v="Free"/>
    <n v="1"/>
    <n v="0"/>
    <n v="0"/>
    <n v="0"/>
    <n v="0"/>
    <n v="0"/>
    <n v="0"/>
    <m/>
    <n v="59.8"/>
  </r>
  <r>
    <s v="USR-100966"/>
    <d v="2025-05-07T00:00:00"/>
    <x v="1"/>
    <s v="North"/>
    <s v="Mobile"/>
    <s v="Organic"/>
    <s v="Basic"/>
    <n v="0"/>
    <n v="0"/>
    <n v="0"/>
    <n v="0"/>
    <n v="0"/>
    <n v="0"/>
    <n v="0"/>
    <m/>
    <n v="66.900000000000006"/>
  </r>
  <r>
    <s v="USR-100967"/>
    <d v="2025-02-19T00:00:00"/>
    <x v="1"/>
    <s v="South"/>
    <s v="Desktop"/>
    <m/>
    <s v="Free"/>
    <n v="1"/>
    <n v="0"/>
    <n v="0"/>
    <n v="0"/>
    <n v="0"/>
    <n v="0"/>
    <n v="0"/>
    <m/>
    <n v="59"/>
  </r>
  <r>
    <s v="USR-100968"/>
    <d v="2025-02-26T00:00:00"/>
    <x v="1"/>
    <s v="West"/>
    <s v="Mobile"/>
    <s v="Organic"/>
    <s v="Premium"/>
    <n v="1"/>
    <n v="0"/>
    <n v="0"/>
    <n v="0"/>
    <n v="0"/>
    <n v="0"/>
    <n v="0"/>
    <m/>
    <n v="80.099999999999994"/>
  </r>
  <r>
    <s v="USR-100969"/>
    <d v="2025-03-23T00:00:00"/>
    <x v="1"/>
    <s v="South"/>
    <s v="Mobile"/>
    <s v="Social"/>
    <s v="Free"/>
    <n v="0"/>
    <n v="0"/>
    <n v="0"/>
    <n v="0"/>
    <n v="0"/>
    <n v="0"/>
    <n v="0"/>
    <m/>
    <n v="64.3"/>
  </r>
  <r>
    <s v="USR-100970"/>
    <d v="2025-04-25T00:00:00"/>
    <x v="1"/>
    <s v="South"/>
    <s v="Desktop"/>
    <s v="Social"/>
    <s v="Free"/>
    <n v="0"/>
    <n v="0"/>
    <n v="0"/>
    <n v="0"/>
    <n v="0"/>
    <n v="1"/>
    <n v="0"/>
    <m/>
    <n v="57.4"/>
  </r>
  <r>
    <s v="USR-100971"/>
    <d v="2025-05-10T00:00:00"/>
    <x v="1"/>
    <s v="North"/>
    <s v="Desktop"/>
    <s v="Social"/>
    <s v="Free"/>
    <n v="1"/>
    <n v="1"/>
    <n v="1"/>
    <n v="0"/>
    <n v="0"/>
    <n v="0"/>
    <n v="0"/>
    <m/>
    <n v="83.6"/>
  </r>
  <r>
    <s v="USR-100972"/>
    <d v="2025-04-22T00:00:00"/>
    <x v="1"/>
    <s v="East"/>
    <s v="Mobile"/>
    <s v="Paid Search"/>
    <s v="Premium"/>
    <n v="0"/>
    <n v="0"/>
    <n v="0"/>
    <n v="0"/>
    <n v="0"/>
    <n v="0"/>
    <n v="0"/>
    <m/>
    <n v="45.8"/>
  </r>
  <r>
    <s v="USR-100973"/>
    <d v="2025-02-18T00:00:00"/>
    <x v="1"/>
    <s v="West"/>
    <s v="Mobile"/>
    <s v="Referral"/>
    <s v="Basic"/>
    <n v="1"/>
    <n v="1"/>
    <n v="1"/>
    <n v="0"/>
    <n v="0"/>
    <n v="0"/>
    <n v="0"/>
    <m/>
    <n v="64.3"/>
  </r>
  <r>
    <s v="USR-100974"/>
    <d v="2025-01-26T00:00:00"/>
    <x v="1"/>
    <s v="South"/>
    <s v="Mobile"/>
    <s v="Paid Search"/>
    <s v="Premium"/>
    <n v="1"/>
    <n v="1"/>
    <n v="1"/>
    <n v="0"/>
    <n v="0"/>
    <n v="0"/>
    <n v="0"/>
    <m/>
    <n v="80.5"/>
  </r>
  <r>
    <s v="USR-100975"/>
    <d v="2025-04-28T00:00:00"/>
    <x v="1"/>
    <s v="North"/>
    <s v="Mobile"/>
    <s v="Organic"/>
    <s v="Free"/>
    <n v="1"/>
    <n v="0"/>
    <n v="0"/>
    <n v="0"/>
    <n v="0"/>
    <n v="0"/>
    <n v="0"/>
    <m/>
    <n v="46.3"/>
  </r>
  <r>
    <s v="USR-100976"/>
    <d v="2025-04-02T00:00:00"/>
    <x v="1"/>
    <s v="South"/>
    <s v="Desktop"/>
    <s v="Email"/>
    <s v="Basic"/>
    <n v="1"/>
    <n v="0"/>
    <n v="0"/>
    <n v="0"/>
    <n v="0"/>
    <n v="0"/>
    <n v="0"/>
    <m/>
    <n v="71.599999999999994"/>
  </r>
  <r>
    <s v="USR-100977"/>
    <d v="2025-04-12T00:00:00"/>
    <x v="1"/>
    <s v="South"/>
    <s v="Desktop"/>
    <s v="Email"/>
    <s v="Premium"/>
    <n v="1"/>
    <n v="1"/>
    <n v="0"/>
    <n v="0"/>
    <n v="0"/>
    <n v="0"/>
    <n v="0"/>
    <m/>
    <n v="57.8"/>
  </r>
  <r>
    <s v="USR-100978"/>
    <d v="2025-01-03T00:00:00"/>
    <x v="1"/>
    <s v="West"/>
    <s v="Desktop"/>
    <s v="Email"/>
    <s v="Basic"/>
    <n v="1"/>
    <n v="1"/>
    <n v="1"/>
    <n v="0"/>
    <n v="0"/>
    <n v="1"/>
    <n v="0"/>
    <m/>
    <n v="57.8"/>
  </r>
  <r>
    <s v="USR-100979"/>
    <d v="2025-05-08T00:00:00"/>
    <x v="1"/>
    <s v="North"/>
    <s v="Mobile"/>
    <s v="Paid Search"/>
    <s v="Free"/>
    <n v="1"/>
    <n v="0"/>
    <n v="0"/>
    <n v="0"/>
    <n v="0"/>
    <n v="0"/>
    <n v="0"/>
    <m/>
    <n v="38.299999999999997"/>
  </r>
  <r>
    <s v="USR-100980"/>
    <d v="2025-02-20T00:00:00"/>
    <x v="1"/>
    <s v="North"/>
    <s v="Mobile"/>
    <s v="Referral"/>
    <s v="Premium"/>
    <n v="1"/>
    <n v="0"/>
    <n v="0"/>
    <n v="0"/>
    <n v="0"/>
    <n v="1"/>
    <n v="0"/>
    <m/>
    <n v="66.099999999999994"/>
  </r>
  <r>
    <s v="USR-100981"/>
    <d v="2025-03-17T00:00:00"/>
    <x v="1"/>
    <s v="North"/>
    <s v="Desktop"/>
    <s v="Paid Search"/>
    <s v="Premium"/>
    <n v="1"/>
    <n v="0"/>
    <n v="0"/>
    <n v="0"/>
    <n v="0"/>
    <n v="0"/>
    <n v="0"/>
    <m/>
    <n v="66.5"/>
  </r>
  <r>
    <s v="USR-100982"/>
    <d v="2025-04-10T00:00:00"/>
    <x v="1"/>
    <s v="South"/>
    <s v="Desktop"/>
    <s v="Email"/>
    <s v="Free"/>
    <n v="1"/>
    <n v="0"/>
    <n v="0"/>
    <n v="0"/>
    <n v="0"/>
    <n v="3"/>
    <n v="0"/>
    <m/>
    <n v="51.5"/>
  </r>
  <r>
    <s v="USR-100983"/>
    <d v="2025-05-08T00:00:00"/>
    <x v="1"/>
    <s v="North"/>
    <s v="Desktop"/>
    <s v="Referral"/>
    <s v="Free"/>
    <n v="1"/>
    <n v="0"/>
    <n v="0"/>
    <n v="0"/>
    <n v="0"/>
    <n v="0"/>
    <n v="0"/>
    <m/>
    <n v="59.9"/>
  </r>
  <r>
    <s v="USR-100984"/>
    <d v="2025-04-19T00:00:00"/>
    <x v="1"/>
    <s v="West"/>
    <s v="Mobile"/>
    <s v="Paid Search"/>
    <s v="Basic"/>
    <n v="1"/>
    <n v="0"/>
    <n v="0"/>
    <n v="0"/>
    <n v="0"/>
    <n v="0"/>
    <n v="0"/>
    <m/>
    <n v="58.8"/>
  </r>
  <r>
    <s v="USR-100985"/>
    <d v="2025-01-01T00:00:00"/>
    <x v="1"/>
    <s v="South"/>
    <s v="Tablet"/>
    <s v="Paid Search"/>
    <s v="Basic"/>
    <n v="1"/>
    <n v="0"/>
    <n v="0"/>
    <n v="0"/>
    <n v="0"/>
    <n v="0"/>
    <n v="0"/>
    <m/>
    <n v="69.599999999999994"/>
  </r>
  <r>
    <s v="USR-100986"/>
    <d v="2025-03-10T00:00:00"/>
    <x v="1"/>
    <s v="East"/>
    <s v="Mobile"/>
    <s v="Paid Search"/>
    <s v="Free"/>
    <n v="1"/>
    <n v="0"/>
    <n v="0"/>
    <n v="0"/>
    <n v="0"/>
    <n v="0"/>
    <n v="0"/>
    <m/>
    <n v="77.5"/>
  </r>
  <r>
    <s v="USR-100987"/>
    <d v="2025-03-10T00:00:00"/>
    <x v="1"/>
    <s v="East"/>
    <s v="Tablet"/>
    <s v="Social"/>
    <s v="Premium"/>
    <n v="0"/>
    <n v="0"/>
    <n v="0"/>
    <n v="0"/>
    <n v="0"/>
    <n v="2"/>
    <n v="0"/>
    <m/>
    <n v="57.5"/>
  </r>
  <r>
    <s v="USR-100988"/>
    <d v="2025-04-19T00:00:00"/>
    <x v="1"/>
    <s v="West"/>
    <s v="Tablet"/>
    <s v="Email"/>
    <s v="Basic"/>
    <n v="1"/>
    <n v="0"/>
    <n v="0"/>
    <n v="0"/>
    <n v="0"/>
    <n v="0"/>
    <n v="0"/>
    <m/>
    <n v="64.2"/>
  </r>
  <r>
    <s v="USR-100989"/>
    <d v="2025-04-11T00:00:00"/>
    <x v="1"/>
    <s v="West"/>
    <s v="Desktop"/>
    <s v="Organic"/>
    <s v="Free"/>
    <n v="0"/>
    <n v="0"/>
    <n v="0"/>
    <n v="0"/>
    <n v="0"/>
    <n v="0"/>
    <n v="0"/>
    <m/>
    <n v="60"/>
  </r>
  <r>
    <s v="USR-100990"/>
    <d v="2025-04-10T00:00:00"/>
    <x v="1"/>
    <s v="East"/>
    <s v="Mobile"/>
    <s v="Organic"/>
    <s v="Basic"/>
    <n v="1"/>
    <n v="0"/>
    <n v="0"/>
    <n v="0"/>
    <n v="0"/>
    <n v="1"/>
    <n v="0"/>
    <m/>
    <n v="43.7"/>
  </r>
  <r>
    <s v="USR-100991"/>
    <d v="2025-01-13T00:00:00"/>
    <x v="1"/>
    <s v="West"/>
    <s v="Desktop"/>
    <s v="Social"/>
    <s v="Free"/>
    <n v="1"/>
    <n v="0"/>
    <n v="0"/>
    <n v="0"/>
    <n v="0"/>
    <n v="0"/>
    <n v="0"/>
    <m/>
    <n v="64.900000000000006"/>
  </r>
  <r>
    <s v="USR-100992"/>
    <d v="2025-03-28T00:00:00"/>
    <x v="1"/>
    <s v="South"/>
    <s v="Desktop"/>
    <s v="Organic"/>
    <s v="Free"/>
    <n v="1"/>
    <n v="1"/>
    <n v="0"/>
    <n v="0"/>
    <n v="0"/>
    <n v="0"/>
    <n v="0"/>
    <m/>
    <n v="45.5"/>
  </r>
  <r>
    <s v="USR-100993"/>
    <d v="2025-01-29T00:00:00"/>
    <x v="1"/>
    <s v="East"/>
    <s v="Mobile"/>
    <s v="Paid Search"/>
    <s v="Free"/>
    <n v="1"/>
    <n v="1"/>
    <n v="1"/>
    <n v="1"/>
    <n v="1772.97"/>
    <n v="0"/>
    <n v="0"/>
    <n v="8"/>
    <n v="61.2"/>
  </r>
  <r>
    <s v="USR-100994"/>
    <d v="2025-03-27T00:00:00"/>
    <x v="1"/>
    <s v="South"/>
    <s v="Mobile"/>
    <s v="Referral"/>
    <s v="Free"/>
    <n v="0"/>
    <n v="0"/>
    <n v="0"/>
    <n v="0"/>
    <n v="0"/>
    <n v="0"/>
    <n v="0"/>
    <m/>
    <n v="87.8"/>
  </r>
  <r>
    <s v="USR-100995"/>
    <d v="2025-03-20T00:00:00"/>
    <x v="1"/>
    <s v="East"/>
    <s v="Tablet"/>
    <s v="Social"/>
    <s v="Free"/>
    <n v="0"/>
    <n v="0"/>
    <n v="0"/>
    <n v="0"/>
    <n v="0"/>
    <n v="0"/>
    <n v="0"/>
    <m/>
    <n v="86.4"/>
  </r>
  <r>
    <s v="USR-100996"/>
    <d v="2025-01-09T00:00:00"/>
    <x v="1"/>
    <s v="North"/>
    <s v="Mobile"/>
    <s v="Paid Search"/>
    <s v="Basic"/>
    <n v="0"/>
    <n v="0"/>
    <n v="0"/>
    <n v="0"/>
    <n v="0"/>
    <n v="1"/>
    <n v="0"/>
    <m/>
    <n v="71.400000000000006"/>
  </r>
  <r>
    <s v="USR-100997"/>
    <d v="2025-04-25T00:00:00"/>
    <x v="1"/>
    <s v="West"/>
    <s v="Mobile"/>
    <s v="Social"/>
    <s v="Free"/>
    <n v="1"/>
    <n v="1"/>
    <n v="1"/>
    <n v="1"/>
    <n v="218.66"/>
    <n v="0"/>
    <n v="1"/>
    <n v="8"/>
    <n v="72.2"/>
  </r>
  <r>
    <s v="USR-100998"/>
    <d v="2025-04-11T00:00:00"/>
    <x v="1"/>
    <s v="South"/>
    <s v="Desktop"/>
    <s v="Social"/>
    <s v="Free"/>
    <n v="1"/>
    <n v="0"/>
    <n v="0"/>
    <n v="0"/>
    <n v="0"/>
    <n v="0"/>
    <n v="0"/>
    <m/>
    <n v="51.9"/>
  </r>
  <r>
    <s v="USR-100999"/>
    <d v="2025-02-05T00:00:00"/>
    <x v="1"/>
    <s v="East"/>
    <s v="Mobile"/>
    <s v="Social"/>
    <s v="Basic"/>
    <n v="1"/>
    <n v="1"/>
    <n v="1"/>
    <n v="0"/>
    <n v="0"/>
    <n v="0"/>
    <n v="0"/>
    <m/>
    <n v="70.3"/>
  </r>
  <r>
    <s v="USR-101000"/>
    <d v="2025-03-28T00:00:00"/>
    <x v="1"/>
    <s v="South"/>
    <s v="Mobile"/>
    <s v="Social"/>
    <s v="Premium"/>
    <n v="1"/>
    <n v="0"/>
    <n v="0"/>
    <n v="0"/>
    <n v="0"/>
    <n v="1"/>
    <n v="0"/>
    <m/>
    <n v="49.2"/>
  </r>
  <r>
    <s v="USR-101001"/>
    <d v="2025-05-14T00:00:00"/>
    <x v="1"/>
    <s v="South"/>
    <s v="Mobile"/>
    <s v="Referral"/>
    <s v="Free"/>
    <n v="0"/>
    <n v="0"/>
    <n v="0"/>
    <n v="0"/>
    <n v="0"/>
    <n v="0"/>
    <n v="0"/>
    <m/>
    <n v="52.2"/>
  </r>
  <r>
    <s v="USR-101002"/>
    <d v="2025-03-10T00:00:00"/>
    <x v="1"/>
    <s v="East"/>
    <s v="Mobile"/>
    <s v="Paid Search"/>
    <s v="Basic"/>
    <n v="0"/>
    <n v="0"/>
    <n v="0"/>
    <n v="0"/>
    <n v="0"/>
    <n v="1"/>
    <n v="0"/>
    <m/>
    <n v="62.6"/>
  </r>
  <r>
    <s v="USR-101003"/>
    <d v="2025-04-09T00:00:00"/>
    <x v="1"/>
    <s v="East"/>
    <s v="Desktop"/>
    <s v="Paid Search"/>
    <s v="Free"/>
    <n v="1"/>
    <n v="1"/>
    <n v="0"/>
    <n v="0"/>
    <n v="0"/>
    <n v="0"/>
    <n v="0"/>
    <m/>
    <n v="100"/>
  </r>
  <r>
    <s v="USR-101004"/>
    <d v="2025-02-13T00:00:00"/>
    <x v="1"/>
    <s v="North"/>
    <s v="Mobile"/>
    <s v="Referral"/>
    <s v="Basic"/>
    <n v="1"/>
    <n v="1"/>
    <n v="1"/>
    <n v="0"/>
    <n v="0"/>
    <n v="2"/>
    <n v="0"/>
    <m/>
    <n v="45.9"/>
  </r>
  <r>
    <s v="USR-101005"/>
    <d v="2025-05-03T00:00:00"/>
    <x v="1"/>
    <s v="East"/>
    <s v="Mobile"/>
    <s v="Email"/>
    <s v="Free"/>
    <n v="1"/>
    <n v="1"/>
    <n v="1"/>
    <n v="0"/>
    <n v="0"/>
    <n v="0"/>
    <n v="0"/>
    <m/>
    <n v="80.7"/>
  </r>
  <r>
    <s v="USR-101006"/>
    <d v="2025-04-16T00:00:00"/>
    <x v="1"/>
    <s v="South"/>
    <s v="Desktop"/>
    <s v="Referral"/>
    <s v="Premium"/>
    <n v="1"/>
    <n v="0"/>
    <n v="0"/>
    <n v="0"/>
    <n v="0"/>
    <n v="0"/>
    <n v="0"/>
    <m/>
    <n v="51.9"/>
  </r>
  <r>
    <s v="USR-101007"/>
    <d v="2025-04-30T00:00:00"/>
    <x v="1"/>
    <s v="North"/>
    <s v="Mobile"/>
    <s v="Paid Search"/>
    <s v="Premium"/>
    <n v="1"/>
    <n v="0"/>
    <n v="0"/>
    <n v="0"/>
    <n v="0"/>
    <n v="0"/>
    <n v="0"/>
    <m/>
    <n v="68.900000000000006"/>
  </r>
  <r>
    <s v="USR-101008"/>
    <d v="2025-02-18T00:00:00"/>
    <x v="1"/>
    <s v="West"/>
    <s v="Desktop"/>
    <s v="Organic"/>
    <s v="Free"/>
    <n v="1"/>
    <n v="0"/>
    <n v="0"/>
    <n v="0"/>
    <n v="0"/>
    <n v="0"/>
    <n v="0"/>
    <m/>
    <n v="66"/>
  </r>
  <r>
    <s v="USR-101009"/>
    <d v="2025-05-22T00:00:00"/>
    <x v="1"/>
    <s v="West"/>
    <s v="Desktop"/>
    <s v="Referral"/>
    <s v="Basic"/>
    <n v="0"/>
    <n v="0"/>
    <n v="0"/>
    <n v="0"/>
    <n v="0"/>
    <n v="0"/>
    <n v="0"/>
    <m/>
    <n v="63.1"/>
  </r>
  <r>
    <s v="USR-101010"/>
    <d v="2025-05-21T00:00:00"/>
    <x v="1"/>
    <s v="South"/>
    <s v="Desktop"/>
    <s v="Organic"/>
    <s v="Free"/>
    <n v="0"/>
    <n v="0"/>
    <n v="0"/>
    <n v="0"/>
    <n v="0"/>
    <n v="0"/>
    <n v="0"/>
    <m/>
    <n v="56"/>
  </r>
  <r>
    <s v="USR-101011"/>
    <d v="2025-04-10T00:00:00"/>
    <x v="1"/>
    <s v="East"/>
    <s v="Desktop"/>
    <s v="Organic"/>
    <s v="Free"/>
    <n v="1"/>
    <n v="0"/>
    <n v="0"/>
    <n v="0"/>
    <n v="0"/>
    <n v="1"/>
    <n v="0"/>
    <m/>
    <n v="65.7"/>
  </r>
  <r>
    <s v="USR-101012"/>
    <d v="2025-01-07T00:00:00"/>
    <x v="1"/>
    <s v="North"/>
    <s v="Desktop"/>
    <s v="Organic"/>
    <s v="Premium"/>
    <n v="1"/>
    <n v="1"/>
    <n v="1"/>
    <n v="1"/>
    <n v="1938.31"/>
    <n v="1"/>
    <n v="0"/>
    <n v="9"/>
    <n v="60.9"/>
  </r>
  <r>
    <s v="USR-101013"/>
    <d v="2025-02-03T00:00:00"/>
    <x v="1"/>
    <s v="South"/>
    <s v="Desktop"/>
    <s v="Social"/>
    <s v="Free"/>
    <n v="0"/>
    <n v="0"/>
    <n v="0"/>
    <n v="0"/>
    <n v="0"/>
    <n v="0"/>
    <n v="0"/>
    <m/>
    <n v="45.5"/>
  </r>
  <r>
    <s v="USR-101014"/>
    <d v="2025-05-18T00:00:00"/>
    <x v="1"/>
    <s v="North"/>
    <s v="Mobile"/>
    <s v="Paid Search"/>
    <s v="Free"/>
    <n v="1"/>
    <n v="0"/>
    <n v="0"/>
    <n v="0"/>
    <n v="0"/>
    <n v="0"/>
    <n v="0"/>
    <m/>
    <n v="50"/>
  </r>
  <r>
    <s v="USR-101015"/>
    <d v="2025-01-31T00:00:00"/>
    <x v="1"/>
    <s v="North"/>
    <s v="Mobile"/>
    <s v="Referral"/>
    <s v="Free"/>
    <n v="1"/>
    <n v="0"/>
    <n v="0"/>
    <n v="0"/>
    <n v="0"/>
    <n v="0"/>
    <n v="0"/>
    <m/>
    <n v="72.099999999999994"/>
  </r>
  <r>
    <s v="USR-101016"/>
    <d v="2025-01-16T00:00:00"/>
    <x v="1"/>
    <s v="South"/>
    <s v="Desktop"/>
    <s v="Organic"/>
    <s v="Basic"/>
    <n v="1"/>
    <n v="0"/>
    <n v="0"/>
    <n v="0"/>
    <n v="0"/>
    <n v="0"/>
    <n v="0"/>
    <m/>
    <n v="76.3"/>
  </r>
  <r>
    <s v="USR-101017"/>
    <d v="2025-05-14T00:00:00"/>
    <x v="1"/>
    <s v="East"/>
    <s v="Mobile"/>
    <s v="Paid Search"/>
    <s v="Basic"/>
    <n v="1"/>
    <n v="1"/>
    <n v="0"/>
    <n v="0"/>
    <n v="0"/>
    <n v="1"/>
    <n v="0"/>
    <m/>
    <n v="54.8"/>
  </r>
  <r>
    <s v="USR-101018"/>
    <d v="2025-04-01T00:00:00"/>
    <x v="1"/>
    <s v="South"/>
    <s v="Mobile"/>
    <m/>
    <s v="Basic"/>
    <n v="1"/>
    <n v="0"/>
    <n v="0"/>
    <n v="0"/>
    <n v="0"/>
    <n v="0"/>
    <n v="0"/>
    <m/>
    <n v="63.6"/>
  </r>
  <r>
    <s v="USR-101019"/>
    <d v="2025-04-23T00:00:00"/>
    <x v="1"/>
    <s v="South"/>
    <s v="Mobile"/>
    <s v="Organic"/>
    <s v="Free"/>
    <n v="1"/>
    <n v="0"/>
    <n v="0"/>
    <n v="0"/>
    <n v="0"/>
    <n v="0"/>
    <n v="0"/>
    <m/>
    <n v="68.8"/>
  </r>
  <r>
    <s v="USR-101020"/>
    <d v="2025-03-02T00:00:00"/>
    <x v="1"/>
    <s v="South"/>
    <s v="Desktop"/>
    <s v="Paid Search"/>
    <s v="Basic"/>
    <n v="1"/>
    <n v="0"/>
    <n v="0"/>
    <n v="0"/>
    <n v="0"/>
    <n v="0"/>
    <n v="0"/>
    <m/>
    <n v="63.2"/>
  </r>
  <r>
    <s v="USR-101021"/>
    <d v="2025-01-02T00:00:00"/>
    <x v="1"/>
    <s v="East"/>
    <s v="Mobile"/>
    <s v="Paid Search"/>
    <s v="Basic"/>
    <n v="0"/>
    <n v="0"/>
    <n v="0"/>
    <n v="0"/>
    <n v="0"/>
    <n v="0"/>
    <n v="0"/>
    <m/>
    <n v="45"/>
  </r>
  <r>
    <s v="USR-101022"/>
    <d v="2025-05-04T00:00:00"/>
    <x v="1"/>
    <s v="South"/>
    <s v="Mobile"/>
    <s v="Organic"/>
    <s v="Free"/>
    <n v="1"/>
    <n v="0"/>
    <n v="0"/>
    <n v="0"/>
    <n v="0"/>
    <n v="0"/>
    <n v="0"/>
    <m/>
    <n v="77.400000000000006"/>
  </r>
  <r>
    <s v="USR-101023"/>
    <d v="2025-01-16T00:00:00"/>
    <x v="1"/>
    <s v="East"/>
    <s v="Desktop"/>
    <s v="Paid Search"/>
    <s v="Basic"/>
    <n v="0"/>
    <n v="0"/>
    <n v="0"/>
    <n v="0"/>
    <n v="0"/>
    <n v="0"/>
    <n v="0"/>
    <m/>
    <n v="53.1"/>
  </r>
  <r>
    <s v="USR-101024"/>
    <d v="2025-02-11T00:00:00"/>
    <x v="1"/>
    <s v="West"/>
    <s v="Tablet"/>
    <s v="Paid Search"/>
    <s v="Premium"/>
    <n v="0"/>
    <n v="0"/>
    <n v="0"/>
    <n v="0"/>
    <n v="0"/>
    <n v="0"/>
    <n v="0"/>
    <m/>
    <n v="74"/>
  </r>
  <r>
    <s v="USR-101025"/>
    <d v="2025-04-03T00:00:00"/>
    <x v="1"/>
    <s v="North"/>
    <s v="Mobile"/>
    <s v="Social"/>
    <s v="Premium"/>
    <n v="1"/>
    <n v="1"/>
    <n v="1"/>
    <n v="1"/>
    <n v="1906.23"/>
    <n v="0"/>
    <n v="0"/>
    <n v="4"/>
    <n v="84.6"/>
  </r>
  <r>
    <s v="USR-101026"/>
    <d v="2025-03-26T00:00:00"/>
    <x v="1"/>
    <s v="East"/>
    <s v="Mobile"/>
    <s v="Referral"/>
    <s v="Free"/>
    <n v="1"/>
    <n v="0"/>
    <n v="0"/>
    <n v="0"/>
    <n v="0"/>
    <n v="0"/>
    <n v="0"/>
    <m/>
    <n v="57"/>
  </r>
  <r>
    <s v="USR-101027"/>
    <d v="2025-05-16T00:00:00"/>
    <x v="1"/>
    <s v="South"/>
    <s v="Mobile"/>
    <s v="Email"/>
    <s v="Premium"/>
    <n v="0"/>
    <n v="0"/>
    <n v="0"/>
    <n v="0"/>
    <n v="0"/>
    <n v="0"/>
    <n v="0"/>
    <m/>
    <n v="46.3"/>
  </r>
  <r>
    <s v="USR-101028"/>
    <d v="2025-04-20T00:00:00"/>
    <x v="1"/>
    <s v="West"/>
    <s v="Mobile"/>
    <s v="Social"/>
    <s v="Free"/>
    <n v="0"/>
    <n v="0"/>
    <n v="0"/>
    <n v="0"/>
    <n v="0"/>
    <n v="1"/>
    <n v="0"/>
    <m/>
    <n v="64.400000000000006"/>
  </r>
  <r>
    <s v="USR-101029"/>
    <d v="2025-04-15T00:00:00"/>
    <x v="1"/>
    <s v="West"/>
    <s v="Mobile"/>
    <s v="Paid Search"/>
    <s v="Free"/>
    <n v="1"/>
    <n v="0"/>
    <n v="0"/>
    <n v="0"/>
    <n v="0"/>
    <n v="2"/>
    <n v="0"/>
    <m/>
    <n v="61.9"/>
  </r>
  <r>
    <s v="USR-101030"/>
    <d v="2025-01-24T00:00:00"/>
    <x v="1"/>
    <s v="North"/>
    <s v="Mobile"/>
    <s v="Organic"/>
    <s v="Premium"/>
    <n v="1"/>
    <n v="1"/>
    <n v="1"/>
    <n v="0"/>
    <n v="0"/>
    <n v="0"/>
    <n v="0"/>
    <m/>
    <n v="93.7"/>
  </r>
  <r>
    <s v="USR-101031"/>
    <d v="2025-04-11T00:00:00"/>
    <x v="1"/>
    <s v="South"/>
    <s v="Mobile"/>
    <s v="Referral"/>
    <s v="Basic"/>
    <n v="0"/>
    <n v="0"/>
    <n v="0"/>
    <n v="0"/>
    <n v="0"/>
    <n v="0"/>
    <n v="0"/>
    <m/>
    <n v="61.6"/>
  </r>
  <r>
    <s v="USR-101032"/>
    <d v="2025-05-19T00:00:00"/>
    <x v="1"/>
    <s v="North"/>
    <s v="Mobile"/>
    <s v="Paid Search"/>
    <s v="Free"/>
    <n v="1"/>
    <n v="0"/>
    <n v="0"/>
    <n v="0"/>
    <n v="0"/>
    <n v="0"/>
    <n v="0"/>
    <m/>
    <n v="72.2"/>
  </r>
  <r>
    <s v="USR-101033"/>
    <d v="2025-01-14T00:00:00"/>
    <x v="1"/>
    <s v="North"/>
    <s v="Mobile"/>
    <s v="Organic"/>
    <s v="Basic"/>
    <n v="0"/>
    <n v="0"/>
    <n v="0"/>
    <n v="0"/>
    <n v="0"/>
    <n v="0"/>
    <n v="0"/>
    <m/>
    <n v="69.5"/>
  </r>
  <r>
    <s v="USR-101034"/>
    <d v="2025-02-28T00:00:00"/>
    <x v="1"/>
    <s v="East"/>
    <s v="Desktop"/>
    <s v="Organic"/>
    <s v="Basic"/>
    <n v="0"/>
    <n v="0"/>
    <n v="0"/>
    <n v="0"/>
    <n v="0"/>
    <n v="0"/>
    <n v="0"/>
    <m/>
    <n v="59.7"/>
  </r>
  <r>
    <s v="USR-101035"/>
    <d v="2025-05-18T00:00:00"/>
    <x v="1"/>
    <s v="East"/>
    <s v="Tablet"/>
    <s v="Paid Search"/>
    <s v="Basic"/>
    <n v="1"/>
    <n v="0"/>
    <n v="0"/>
    <n v="0"/>
    <n v="0"/>
    <n v="0"/>
    <n v="0"/>
    <m/>
    <n v="73.900000000000006"/>
  </r>
  <r>
    <s v="USR-101036"/>
    <d v="2025-01-04T00:00:00"/>
    <x v="1"/>
    <s v="North"/>
    <s v="Mobile"/>
    <s v="Social"/>
    <s v="Free"/>
    <n v="0"/>
    <n v="0"/>
    <n v="0"/>
    <n v="0"/>
    <n v="0"/>
    <n v="0"/>
    <n v="0"/>
    <m/>
    <n v="41.5"/>
  </r>
  <r>
    <s v="USR-101037"/>
    <d v="2025-01-16T00:00:00"/>
    <x v="1"/>
    <s v="West"/>
    <s v="Mobile"/>
    <s v="Social"/>
    <s v="Premium"/>
    <n v="1"/>
    <n v="0"/>
    <n v="0"/>
    <n v="0"/>
    <n v="0"/>
    <n v="0"/>
    <n v="0"/>
    <m/>
    <n v="82.8"/>
  </r>
  <r>
    <s v="USR-101038"/>
    <d v="2025-03-14T00:00:00"/>
    <x v="1"/>
    <s v="West"/>
    <s v="Mobile"/>
    <s v="Social"/>
    <s v="Premium"/>
    <n v="1"/>
    <n v="0"/>
    <n v="0"/>
    <n v="0"/>
    <n v="0"/>
    <n v="3"/>
    <n v="0"/>
    <m/>
    <n v="70.2"/>
  </r>
  <r>
    <s v="USR-101039"/>
    <d v="2025-01-23T00:00:00"/>
    <x v="1"/>
    <s v="East"/>
    <s v="Mobile"/>
    <s v="Paid Search"/>
    <s v="Basic"/>
    <n v="1"/>
    <n v="0"/>
    <n v="0"/>
    <n v="0"/>
    <n v="0"/>
    <n v="1"/>
    <n v="0"/>
    <m/>
    <n v="69.400000000000006"/>
  </r>
  <r>
    <s v="USR-101040"/>
    <d v="2025-02-03T00:00:00"/>
    <x v="1"/>
    <s v="North"/>
    <s v="Desktop"/>
    <s v="Organic"/>
    <s v="Basic"/>
    <n v="1"/>
    <n v="0"/>
    <n v="0"/>
    <n v="0"/>
    <n v="0"/>
    <n v="0"/>
    <n v="0"/>
    <m/>
    <n v="60.4"/>
  </r>
  <r>
    <s v="USR-101041"/>
    <d v="2025-05-16T00:00:00"/>
    <x v="1"/>
    <s v="East"/>
    <s v="Mobile"/>
    <s v="Referral"/>
    <s v="Free"/>
    <n v="1"/>
    <n v="0"/>
    <n v="0"/>
    <n v="0"/>
    <n v="0"/>
    <n v="0"/>
    <n v="0"/>
    <m/>
    <n v="45.7"/>
  </r>
  <r>
    <s v="USR-101042"/>
    <d v="2025-01-11T00:00:00"/>
    <x v="1"/>
    <s v="West"/>
    <s v="Mobile"/>
    <s v="Organic"/>
    <s v="Basic"/>
    <n v="0"/>
    <n v="0"/>
    <n v="0"/>
    <n v="0"/>
    <n v="0"/>
    <n v="1"/>
    <n v="0"/>
    <m/>
    <n v="42.2"/>
  </r>
  <r>
    <s v="USR-101043"/>
    <d v="2025-05-25T00:00:00"/>
    <x v="1"/>
    <s v="North"/>
    <s v="Desktop"/>
    <s v="Organic"/>
    <s v="Free"/>
    <n v="0"/>
    <n v="0"/>
    <n v="0"/>
    <n v="0"/>
    <n v="0"/>
    <n v="2"/>
    <n v="0"/>
    <m/>
    <n v="61.9"/>
  </r>
  <r>
    <s v="USR-101044"/>
    <d v="2025-05-08T00:00:00"/>
    <x v="1"/>
    <s v="East"/>
    <s v="Mobile"/>
    <s v="Paid Search"/>
    <s v="Premium"/>
    <n v="0"/>
    <n v="0"/>
    <n v="0"/>
    <n v="0"/>
    <n v="0"/>
    <n v="0"/>
    <n v="0"/>
    <m/>
    <n v="44.9"/>
  </r>
  <r>
    <s v="USR-101045"/>
    <d v="2025-02-26T00:00:00"/>
    <x v="1"/>
    <s v="East"/>
    <s v="Desktop"/>
    <m/>
    <s v="Basic"/>
    <n v="1"/>
    <n v="0"/>
    <n v="0"/>
    <n v="0"/>
    <n v="0"/>
    <n v="0"/>
    <n v="0"/>
    <m/>
    <n v="68"/>
  </r>
  <r>
    <s v="USR-101046"/>
    <d v="2025-03-30T00:00:00"/>
    <x v="1"/>
    <s v="North"/>
    <s v="Mobile"/>
    <s v="Paid Search"/>
    <s v="Free"/>
    <n v="1"/>
    <n v="0"/>
    <n v="0"/>
    <n v="0"/>
    <n v="0"/>
    <n v="0"/>
    <n v="0"/>
    <m/>
    <n v="61"/>
  </r>
  <r>
    <s v="USR-101047"/>
    <d v="2025-04-13T00:00:00"/>
    <x v="1"/>
    <s v="West"/>
    <s v="Mobile"/>
    <s v="Organic"/>
    <s v="Basic"/>
    <n v="1"/>
    <n v="0"/>
    <n v="0"/>
    <n v="0"/>
    <n v="0"/>
    <n v="0"/>
    <n v="0"/>
    <m/>
    <n v="55"/>
  </r>
  <r>
    <s v="USR-101048"/>
    <d v="2025-02-20T00:00:00"/>
    <x v="1"/>
    <s v="East"/>
    <m/>
    <s v="Paid Search"/>
    <s v="Basic"/>
    <n v="1"/>
    <n v="0"/>
    <n v="0"/>
    <n v="0"/>
    <n v="0"/>
    <n v="0"/>
    <n v="0"/>
    <m/>
    <n v="63.1"/>
  </r>
  <r>
    <s v="USR-101049"/>
    <d v="2025-04-19T00:00:00"/>
    <x v="1"/>
    <s v="West"/>
    <s v="Desktop"/>
    <s v="Social"/>
    <s v="Free"/>
    <n v="1"/>
    <n v="0"/>
    <n v="0"/>
    <n v="0"/>
    <n v="0"/>
    <n v="0"/>
    <n v="0"/>
    <m/>
    <n v="75.8"/>
  </r>
  <r>
    <s v="USR-101050"/>
    <d v="2025-03-22T00:00:00"/>
    <x v="1"/>
    <s v="South"/>
    <s v="Mobile"/>
    <s v="Paid Search"/>
    <s v="Free"/>
    <n v="1"/>
    <n v="1"/>
    <n v="0"/>
    <n v="0"/>
    <n v="0"/>
    <n v="1"/>
    <n v="0"/>
    <m/>
    <n v="43.8"/>
  </r>
  <r>
    <s v="USR-101051"/>
    <d v="2025-02-28T00:00:00"/>
    <x v="1"/>
    <s v="North"/>
    <s v="Mobile"/>
    <s v="Email"/>
    <s v="Basic"/>
    <n v="1"/>
    <n v="1"/>
    <n v="0"/>
    <n v="0"/>
    <n v="0"/>
    <n v="0"/>
    <n v="0"/>
    <m/>
    <n v="46.8"/>
  </r>
  <r>
    <s v="USR-101052"/>
    <d v="2025-05-24T00:00:00"/>
    <x v="1"/>
    <s v="East"/>
    <s v="Mobile"/>
    <s v="Social"/>
    <s v="Free"/>
    <n v="1"/>
    <n v="1"/>
    <n v="1"/>
    <n v="0"/>
    <n v="0"/>
    <n v="0"/>
    <n v="0"/>
    <m/>
    <n v="97.4"/>
  </r>
  <r>
    <s v="USR-101053"/>
    <d v="2025-02-03T00:00:00"/>
    <x v="1"/>
    <s v="North"/>
    <s v="Desktop"/>
    <s v="Email"/>
    <s v="Free"/>
    <n v="1"/>
    <n v="1"/>
    <n v="1"/>
    <n v="1"/>
    <n v="268.95999999999998"/>
    <n v="0"/>
    <n v="0"/>
    <n v="14"/>
    <n v="81"/>
  </r>
  <r>
    <s v="USR-101054"/>
    <d v="2025-01-27T00:00:00"/>
    <x v="1"/>
    <s v="South"/>
    <s v="Mobile"/>
    <s v="Organic"/>
    <s v="Free"/>
    <n v="1"/>
    <n v="0"/>
    <n v="0"/>
    <n v="0"/>
    <n v="0"/>
    <n v="1"/>
    <n v="0"/>
    <m/>
    <n v="58.9"/>
  </r>
  <r>
    <s v="USR-101055"/>
    <d v="2025-04-17T00:00:00"/>
    <x v="1"/>
    <s v="East"/>
    <s v="Mobile"/>
    <s v="Organic"/>
    <s v="Free"/>
    <n v="1"/>
    <n v="0"/>
    <n v="0"/>
    <n v="0"/>
    <n v="0"/>
    <n v="0"/>
    <n v="0"/>
    <m/>
    <n v="51.9"/>
  </r>
  <r>
    <s v="USR-101056"/>
    <d v="2025-02-06T00:00:00"/>
    <x v="1"/>
    <s v="West"/>
    <s v="Mobile"/>
    <s v="Social"/>
    <s v="Free"/>
    <n v="1"/>
    <n v="1"/>
    <n v="0"/>
    <n v="0"/>
    <n v="0"/>
    <n v="0"/>
    <n v="0"/>
    <m/>
    <n v="61.7"/>
  </r>
  <r>
    <s v="USR-101057"/>
    <d v="2025-04-20T00:00:00"/>
    <x v="1"/>
    <s v="South"/>
    <s v="Mobile"/>
    <s v="Paid Search"/>
    <s v="Free"/>
    <n v="1"/>
    <n v="0"/>
    <n v="0"/>
    <n v="0"/>
    <n v="0"/>
    <n v="0"/>
    <n v="0"/>
    <m/>
    <n v="44.7"/>
  </r>
  <r>
    <s v="USR-101058"/>
    <d v="2025-05-06T00:00:00"/>
    <x v="1"/>
    <s v="North"/>
    <s v="Mobile"/>
    <s v="Paid Search"/>
    <s v="Basic"/>
    <n v="0"/>
    <n v="0"/>
    <n v="0"/>
    <n v="0"/>
    <n v="0"/>
    <n v="0"/>
    <n v="0"/>
    <m/>
    <n v="63.2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1060"/>
    <d v="2025-03-02T00:00:00"/>
    <x v="1"/>
    <s v="South"/>
    <s v="Mobile"/>
    <s v="Paid Search"/>
    <s v="Premium"/>
    <n v="1"/>
    <n v="1"/>
    <n v="0"/>
    <n v="0"/>
    <n v="0"/>
    <n v="1"/>
    <n v="0"/>
    <m/>
    <n v="83.1"/>
  </r>
  <r>
    <s v="USR-101061"/>
    <d v="2025-04-09T00:00:00"/>
    <x v="1"/>
    <s v="West"/>
    <s v="Mobile"/>
    <s v="Social"/>
    <s v="Free"/>
    <n v="0"/>
    <n v="0"/>
    <n v="0"/>
    <n v="0"/>
    <n v="0"/>
    <n v="0"/>
    <n v="0"/>
    <m/>
    <n v="50.3"/>
  </r>
  <r>
    <s v="USR-101062"/>
    <d v="2025-01-26T00:00:00"/>
    <x v="1"/>
    <s v="East"/>
    <s v="Mobile"/>
    <s v="Paid Search"/>
    <s v="Free"/>
    <n v="1"/>
    <n v="1"/>
    <n v="1"/>
    <n v="1"/>
    <n v="437.09"/>
    <n v="2"/>
    <n v="1"/>
    <n v="1"/>
    <n v="58.2"/>
  </r>
  <r>
    <s v="USR-101063"/>
    <d v="2025-02-25T00:00:00"/>
    <x v="1"/>
    <s v="South"/>
    <s v="Mobile"/>
    <s v="Paid Search"/>
    <s v="Basic"/>
    <n v="1"/>
    <n v="1"/>
    <n v="1"/>
    <n v="0"/>
    <n v="0"/>
    <n v="0"/>
    <n v="0"/>
    <m/>
    <n v="53.2"/>
  </r>
  <r>
    <s v="USR-101064"/>
    <d v="2025-01-07T00:00:00"/>
    <x v="1"/>
    <s v="East"/>
    <s v="Mobile"/>
    <s v="Organic"/>
    <s v="Premium"/>
    <n v="0"/>
    <n v="0"/>
    <n v="0"/>
    <n v="0"/>
    <n v="0"/>
    <n v="0"/>
    <n v="0"/>
    <m/>
    <n v="36.4"/>
  </r>
  <r>
    <s v="USR-101065"/>
    <d v="2025-03-08T00:00:00"/>
    <x v="1"/>
    <s v="South"/>
    <s v="Mobile"/>
    <s v="Social"/>
    <s v="Basic"/>
    <n v="1"/>
    <n v="1"/>
    <n v="1"/>
    <n v="0"/>
    <n v="0"/>
    <n v="0"/>
    <n v="0"/>
    <m/>
    <n v="72.7"/>
  </r>
  <r>
    <s v="USR-101066"/>
    <d v="2025-05-22T00:00:00"/>
    <x v="1"/>
    <s v="East"/>
    <s v="Mobile"/>
    <s v="Referral"/>
    <s v="Free"/>
    <n v="1"/>
    <n v="0"/>
    <n v="0"/>
    <n v="0"/>
    <n v="0"/>
    <n v="1"/>
    <n v="0"/>
    <m/>
    <n v="86.7"/>
  </r>
  <r>
    <s v="USR-101067"/>
    <d v="2025-04-18T00:00:00"/>
    <x v="1"/>
    <s v="East"/>
    <s v="Mobile"/>
    <s v="Paid Search"/>
    <s v="Premium"/>
    <n v="1"/>
    <n v="0"/>
    <n v="0"/>
    <n v="0"/>
    <n v="0"/>
    <n v="0"/>
    <n v="0"/>
    <m/>
    <n v="48.2"/>
  </r>
  <r>
    <s v="USR-101068"/>
    <d v="2025-02-24T00:00:00"/>
    <x v="1"/>
    <s v="West"/>
    <s v="Mobile"/>
    <s v="Referral"/>
    <s v="Basic"/>
    <n v="0"/>
    <n v="0"/>
    <n v="0"/>
    <n v="0"/>
    <n v="0"/>
    <n v="1"/>
    <n v="0"/>
    <m/>
    <n v="57.6"/>
  </r>
  <r>
    <s v="USR-101069"/>
    <d v="2025-02-11T00:00:00"/>
    <x v="1"/>
    <s v="North"/>
    <s v="Mobile"/>
    <s v="Organic"/>
    <s v="Free"/>
    <n v="1"/>
    <n v="1"/>
    <n v="1"/>
    <n v="0"/>
    <n v="0"/>
    <n v="0"/>
    <n v="0"/>
    <m/>
    <n v="75.7"/>
  </r>
  <r>
    <s v="USR-101070"/>
    <d v="2025-03-11T00:00:00"/>
    <x v="1"/>
    <s v="West"/>
    <s v="Desktop"/>
    <s v="Paid Search"/>
    <s v="Free"/>
    <n v="1"/>
    <n v="0"/>
    <n v="0"/>
    <n v="0"/>
    <n v="0"/>
    <n v="2"/>
    <n v="0"/>
    <m/>
    <n v="48.6"/>
  </r>
  <r>
    <s v="USR-101071"/>
    <d v="2025-04-11T00:00:00"/>
    <x v="1"/>
    <s v="East"/>
    <s v="Tablet"/>
    <s v="Referral"/>
    <s v="Free"/>
    <n v="1"/>
    <n v="1"/>
    <n v="1"/>
    <n v="0"/>
    <n v="0"/>
    <n v="0"/>
    <n v="0"/>
    <m/>
    <n v="72"/>
  </r>
  <r>
    <s v="USR-101072"/>
    <d v="2025-03-11T00:00:00"/>
    <x v="1"/>
    <s v="North"/>
    <s v="Mobile"/>
    <s v="Organic"/>
    <s v="Free"/>
    <n v="0"/>
    <n v="0"/>
    <n v="0"/>
    <n v="0"/>
    <n v="0"/>
    <n v="0"/>
    <n v="0"/>
    <m/>
    <n v="72.2"/>
  </r>
  <r>
    <s v="USR-101073"/>
    <d v="2025-05-22T00:00:00"/>
    <x v="1"/>
    <s v="East"/>
    <s v="Mobile"/>
    <s v="Referral"/>
    <s v="Free"/>
    <n v="1"/>
    <n v="0"/>
    <n v="0"/>
    <n v="0"/>
    <n v="0"/>
    <n v="1"/>
    <n v="0"/>
    <m/>
    <m/>
  </r>
  <r>
    <s v="USR-101074"/>
    <d v="2025-02-22T00:00:00"/>
    <x v="1"/>
    <s v="South"/>
    <s v="Desktop"/>
    <s v="Organic"/>
    <s v="Free"/>
    <n v="1"/>
    <n v="1"/>
    <n v="1"/>
    <n v="1"/>
    <n v="331.53"/>
    <n v="2"/>
    <n v="0"/>
    <n v="4"/>
    <n v="56.8"/>
  </r>
  <r>
    <s v="USR-101075"/>
    <d v="2025-01-13T00:00:00"/>
    <x v="1"/>
    <s v="East"/>
    <s v="Mobile"/>
    <s v="Paid Search"/>
    <s v="Basic"/>
    <n v="1"/>
    <n v="0"/>
    <n v="0"/>
    <n v="0"/>
    <n v="0"/>
    <n v="0"/>
    <n v="0"/>
    <m/>
    <n v="62.5"/>
  </r>
  <r>
    <s v="USR-101076"/>
    <d v="2025-05-19T00:00:00"/>
    <x v="1"/>
    <s v="South"/>
    <s v="Mobile"/>
    <s v="Organic"/>
    <s v="Free"/>
    <n v="1"/>
    <n v="0"/>
    <n v="0"/>
    <n v="0"/>
    <n v="0"/>
    <n v="0"/>
    <n v="0"/>
    <m/>
    <n v="63.4"/>
  </r>
  <r>
    <s v="USR-101077"/>
    <d v="2025-03-08T00:00:00"/>
    <x v="1"/>
    <s v="North"/>
    <s v="Tablet"/>
    <s v="Organic"/>
    <s v="Basic"/>
    <n v="1"/>
    <n v="1"/>
    <n v="1"/>
    <n v="1"/>
    <n v="774.78"/>
    <n v="0"/>
    <n v="0"/>
    <n v="3"/>
    <n v="46.8"/>
  </r>
  <r>
    <s v="USR-101078"/>
    <d v="2025-04-20T00:00:00"/>
    <x v="1"/>
    <s v="South"/>
    <s v="Mobile"/>
    <s v="Organic"/>
    <s v="Free"/>
    <n v="1"/>
    <n v="1"/>
    <n v="1"/>
    <n v="1"/>
    <n v="422.02"/>
    <n v="0"/>
    <n v="0"/>
    <n v="8"/>
    <n v="86.5"/>
  </r>
  <r>
    <s v="USR-101079"/>
    <d v="2025-05-08T00:00:00"/>
    <x v="1"/>
    <s v="West"/>
    <s v="Mobile"/>
    <s v="Email"/>
    <s v="Basic"/>
    <n v="0"/>
    <n v="0"/>
    <n v="0"/>
    <n v="0"/>
    <n v="0"/>
    <n v="1"/>
    <n v="0"/>
    <m/>
    <n v="75.099999999999994"/>
  </r>
  <r>
    <s v="USR-101080"/>
    <d v="2025-05-10T00:00:00"/>
    <x v="1"/>
    <s v="South"/>
    <s v="Mobile"/>
    <s v="Organic"/>
    <s v="Basic"/>
    <n v="1"/>
    <n v="0"/>
    <n v="0"/>
    <n v="0"/>
    <n v="0"/>
    <n v="0"/>
    <n v="0"/>
    <m/>
    <n v="64.5"/>
  </r>
  <r>
    <s v="USR-101081"/>
    <d v="2025-03-28T00:00:00"/>
    <x v="1"/>
    <s v="East"/>
    <s v="Mobile"/>
    <s v="Organic"/>
    <s v="Free"/>
    <n v="1"/>
    <n v="0"/>
    <n v="0"/>
    <n v="0"/>
    <n v="0"/>
    <n v="0"/>
    <n v="0"/>
    <m/>
    <n v="54.2"/>
  </r>
  <r>
    <s v="USR-101082"/>
    <d v="2025-04-30T00:00:00"/>
    <x v="1"/>
    <s v="East"/>
    <s v="Mobile"/>
    <s v="Paid Search"/>
    <s v="Premium"/>
    <n v="1"/>
    <n v="1"/>
    <n v="1"/>
    <n v="0"/>
    <n v="0"/>
    <n v="0"/>
    <n v="0"/>
    <m/>
    <n v="84.1"/>
  </r>
  <r>
    <s v="USR-101083"/>
    <d v="2025-02-08T00:00:00"/>
    <x v="1"/>
    <s v="North"/>
    <s v="Mobile"/>
    <s v="Organic"/>
    <s v="Basic"/>
    <n v="0"/>
    <n v="0"/>
    <n v="0"/>
    <n v="0"/>
    <n v="0"/>
    <n v="1"/>
    <n v="0"/>
    <m/>
    <n v="49.1"/>
  </r>
  <r>
    <s v="USR-101084"/>
    <d v="2025-03-07T00:00:00"/>
    <x v="1"/>
    <s v="South"/>
    <s v="Mobile"/>
    <s v="Referral"/>
    <s v="Premium"/>
    <n v="0"/>
    <n v="0"/>
    <n v="0"/>
    <n v="0"/>
    <n v="0"/>
    <n v="0"/>
    <n v="0"/>
    <m/>
    <n v="92.7"/>
  </r>
  <r>
    <s v="USR-101085"/>
    <d v="2025-05-21T00:00:00"/>
    <x v="1"/>
    <s v="South"/>
    <s v="Mobile"/>
    <s v="Social"/>
    <s v="Basic"/>
    <n v="1"/>
    <n v="1"/>
    <n v="1"/>
    <n v="0"/>
    <n v="0"/>
    <n v="1"/>
    <n v="0"/>
    <m/>
    <n v="58.7"/>
  </r>
  <r>
    <s v="USR-101086"/>
    <d v="2025-04-12T00:00:00"/>
    <x v="1"/>
    <s v="South"/>
    <s v="Mobile"/>
    <s v="Social"/>
    <s v="Free"/>
    <n v="1"/>
    <n v="1"/>
    <n v="1"/>
    <n v="0"/>
    <n v="0"/>
    <n v="0"/>
    <n v="0"/>
    <m/>
    <n v="59.3"/>
  </r>
  <r>
    <s v="USR-101087"/>
    <d v="2025-02-02T00:00:00"/>
    <x v="1"/>
    <s v="South"/>
    <s v="Mobile"/>
    <s v="Paid Search"/>
    <s v="Free"/>
    <n v="1"/>
    <n v="0"/>
    <n v="0"/>
    <n v="0"/>
    <n v="0"/>
    <n v="0"/>
    <n v="0"/>
    <m/>
    <n v="62"/>
  </r>
  <r>
    <s v="USR-101088"/>
    <d v="2025-04-22T00:00:00"/>
    <x v="1"/>
    <s v="North"/>
    <s v="Tablet"/>
    <s v="Referral"/>
    <s v="Free"/>
    <n v="1"/>
    <n v="1"/>
    <n v="1"/>
    <n v="0"/>
    <n v="0"/>
    <n v="1"/>
    <n v="0"/>
    <m/>
    <n v="60.3"/>
  </r>
  <r>
    <s v="USR-101089"/>
    <d v="2025-02-08T00:00:00"/>
    <x v="1"/>
    <s v="North"/>
    <s v="Mobile"/>
    <s v="Social"/>
    <s v="Basic"/>
    <n v="1"/>
    <n v="0"/>
    <n v="0"/>
    <n v="0"/>
    <n v="0"/>
    <n v="0"/>
    <n v="0"/>
    <m/>
    <n v="70.5"/>
  </r>
  <r>
    <s v="USR-101090"/>
    <d v="2025-01-24T00:00:00"/>
    <x v="1"/>
    <s v="South"/>
    <s v="Desktop"/>
    <s v="Email"/>
    <s v="Free"/>
    <n v="1"/>
    <n v="0"/>
    <n v="0"/>
    <n v="0"/>
    <n v="0"/>
    <n v="0"/>
    <n v="0"/>
    <m/>
    <n v="36.799999999999997"/>
  </r>
  <r>
    <s v="USR-101091"/>
    <d v="2025-05-12T00:00:00"/>
    <x v="1"/>
    <s v="South"/>
    <s v="Mobile"/>
    <s v="Paid Search"/>
    <s v="Basic"/>
    <n v="0"/>
    <n v="0"/>
    <n v="0"/>
    <n v="0"/>
    <n v="0"/>
    <n v="1"/>
    <n v="0"/>
    <m/>
    <n v="73.2"/>
  </r>
  <r>
    <s v="USR-101092"/>
    <d v="2025-03-30T00:00:00"/>
    <x v="1"/>
    <s v="North"/>
    <s v="Mobile"/>
    <s v="Organic"/>
    <s v="Basic"/>
    <n v="0"/>
    <n v="0"/>
    <n v="0"/>
    <n v="0"/>
    <n v="0"/>
    <n v="0"/>
    <n v="0"/>
    <m/>
    <n v="70.099999999999994"/>
  </r>
  <r>
    <s v="USR-101093"/>
    <d v="2025-01-02T00:00:00"/>
    <x v="1"/>
    <s v="South"/>
    <s v="Desktop"/>
    <s v="Paid Search"/>
    <s v="Basic"/>
    <n v="1"/>
    <n v="0"/>
    <n v="0"/>
    <n v="0"/>
    <n v="0"/>
    <n v="0"/>
    <n v="0"/>
    <m/>
    <n v="76.400000000000006"/>
  </r>
  <r>
    <s v="USR-101094"/>
    <d v="2025-03-21T00:00:00"/>
    <x v="1"/>
    <s v="South"/>
    <s v="Tablet"/>
    <s v="Email"/>
    <s v="Basic"/>
    <n v="0"/>
    <n v="0"/>
    <n v="0"/>
    <n v="0"/>
    <n v="0"/>
    <n v="0"/>
    <n v="0"/>
    <m/>
    <n v="46.4"/>
  </r>
  <r>
    <s v="USR-101095"/>
    <d v="2025-01-25T00:00:00"/>
    <x v="1"/>
    <s v="West"/>
    <s v="Mobile"/>
    <s v="Organic"/>
    <s v="Free"/>
    <n v="1"/>
    <n v="1"/>
    <n v="1"/>
    <n v="0"/>
    <n v="0"/>
    <n v="1"/>
    <n v="0"/>
    <m/>
    <n v="81.3"/>
  </r>
  <r>
    <s v="USR-101096"/>
    <d v="2025-01-12T00:00:00"/>
    <x v="1"/>
    <s v="South"/>
    <s v="Tablet"/>
    <s v="Social"/>
    <s v="Free"/>
    <n v="1"/>
    <n v="1"/>
    <n v="1"/>
    <n v="0"/>
    <n v="0"/>
    <n v="0"/>
    <n v="0"/>
    <m/>
    <n v="55.3"/>
  </r>
  <r>
    <s v="USR-101097"/>
    <d v="2025-03-18T00:00:00"/>
    <x v="1"/>
    <s v="East"/>
    <s v="Desktop"/>
    <s v="Referral"/>
    <s v="Free"/>
    <n v="1"/>
    <n v="0"/>
    <n v="0"/>
    <n v="0"/>
    <n v="0"/>
    <n v="0"/>
    <n v="0"/>
    <m/>
    <n v="44.7"/>
  </r>
  <r>
    <s v="USR-101098"/>
    <d v="2025-03-26T00:00:00"/>
    <x v="1"/>
    <s v="East"/>
    <s v="Mobile"/>
    <s v="Paid Search"/>
    <s v="Basic"/>
    <n v="1"/>
    <n v="0"/>
    <n v="0"/>
    <n v="0"/>
    <n v="0"/>
    <n v="0"/>
    <n v="0"/>
    <m/>
    <n v="67.2"/>
  </r>
  <r>
    <s v="USR-101099"/>
    <d v="2025-04-19T00:00:00"/>
    <x v="1"/>
    <s v="North"/>
    <s v="Mobile"/>
    <s v="Paid Search"/>
    <s v="Basic"/>
    <n v="1"/>
    <n v="0"/>
    <n v="0"/>
    <n v="0"/>
    <n v="0"/>
    <n v="0"/>
    <n v="0"/>
    <m/>
    <m/>
  </r>
  <r>
    <s v="USR-101100"/>
    <d v="2025-04-17T00:00:00"/>
    <x v="1"/>
    <s v="East"/>
    <s v="Mobile"/>
    <s v="Organic"/>
    <s v="Premium"/>
    <n v="1"/>
    <n v="1"/>
    <n v="1"/>
    <n v="0"/>
    <n v="0"/>
    <n v="1"/>
    <n v="0"/>
    <m/>
    <n v="70.8"/>
  </r>
  <r>
    <s v="USR-101101"/>
    <d v="2025-05-26T00:00:00"/>
    <x v="1"/>
    <s v="South"/>
    <s v="Mobile"/>
    <s v="Paid Search"/>
    <s v="Free"/>
    <n v="1"/>
    <n v="0"/>
    <n v="0"/>
    <n v="0"/>
    <n v="0"/>
    <n v="0"/>
    <n v="0"/>
    <m/>
    <n v="71.3"/>
  </r>
  <r>
    <s v="USR-101102"/>
    <d v="2025-04-14T00:00:00"/>
    <x v="1"/>
    <s v="North"/>
    <s v="Mobile"/>
    <s v="Social"/>
    <s v="Premium"/>
    <n v="1"/>
    <n v="1"/>
    <n v="1"/>
    <n v="0"/>
    <n v="0"/>
    <n v="0"/>
    <n v="0"/>
    <m/>
    <n v="69.400000000000006"/>
  </r>
  <r>
    <s v="USR-101103"/>
    <d v="2025-01-23T00:00:00"/>
    <x v="1"/>
    <s v="South"/>
    <s v="Mobile"/>
    <s v="Organic"/>
    <s v="Basic"/>
    <n v="1"/>
    <n v="1"/>
    <n v="0"/>
    <n v="0"/>
    <n v="0"/>
    <n v="0"/>
    <n v="0"/>
    <m/>
    <n v="58.9"/>
  </r>
  <r>
    <s v="USR-101104"/>
    <d v="2025-01-06T00:00:00"/>
    <x v="1"/>
    <s v="East"/>
    <s v="Mobile"/>
    <s v="Referral"/>
    <s v="Free"/>
    <n v="0"/>
    <n v="0"/>
    <n v="0"/>
    <n v="0"/>
    <n v="0"/>
    <n v="0"/>
    <n v="0"/>
    <m/>
    <n v="70.7"/>
  </r>
  <r>
    <s v="USR-101105"/>
    <d v="2025-05-31T00:00:00"/>
    <x v="1"/>
    <s v="West"/>
    <s v="Mobile"/>
    <s v="Email"/>
    <s v="Basic"/>
    <n v="1"/>
    <n v="0"/>
    <n v="0"/>
    <n v="0"/>
    <n v="0"/>
    <n v="0"/>
    <n v="0"/>
    <m/>
    <n v="60.5"/>
  </r>
  <r>
    <s v="USR-101106"/>
    <d v="2025-05-19T00:00:00"/>
    <x v="1"/>
    <s v="North"/>
    <s v="Mobile"/>
    <s v="Organic"/>
    <s v="Basic"/>
    <n v="1"/>
    <n v="1"/>
    <n v="1"/>
    <n v="0"/>
    <n v="0"/>
    <n v="0"/>
    <n v="0"/>
    <m/>
    <n v="77.3"/>
  </r>
  <r>
    <s v="USR-101107"/>
    <d v="2025-02-25T00:00:00"/>
    <x v="1"/>
    <s v="North"/>
    <s v="Mobile"/>
    <s v="Organic"/>
    <s v="Free"/>
    <n v="0"/>
    <n v="0"/>
    <n v="0"/>
    <n v="0"/>
    <n v="0"/>
    <n v="1"/>
    <n v="0"/>
    <m/>
    <n v="39.5"/>
  </r>
  <r>
    <s v="USR-101108"/>
    <d v="2025-01-10T00:00:00"/>
    <x v="1"/>
    <s v="South"/>
    <s v="Tablet"/>
    <s v="Organic"/>
    <s v="Basic"/>
    <n v="1"/>
    <n v="0"/>
    <n v="0"/>
    <n v="0"/>
    <n v="0"/>
    <n v="0"/>
    <n v="0"/>
    <m/>
    <n v="68.099999999999994"/>
  </r>
  <r>
    <s v="USR-101109"/>
    <d v="2025-05-13T00:00:00"/>
    <x v="1"/>
    <s v="North"/>
    <s v="Tablet"/>
    <s v="Paid Search"/>
    <s v="Free"/>
    <n v="0"/>
    <n v="0"/>
    <n v="0"/>
    <n v="0"/>
    <n v="0"/>
    <n v="0"/>
    <n v="0"/>
    <m/>
    <n v="80.3"/>
  </r>
  <r>
    <s v="USR-101110"/>
    <d v="2025-04-27T00:00:00"/>
    <x v="1"/>
    <s v="West"/>
    <s v="Desktop"/>
    <s v="Organic"/>
    <s v="Premium"/>
    <n v="1"/>
    <n v="0"/>
    <n v="0"/>
    <n v="0"/>
    <n v="0"/>
    <n v="0"/>
    <n v="0"/>
    <m/>
    <n v="77.7"/>
  </r>
  <r>
    <s v="USR-101111"/>
    <d v="2025-04-03T00:00:00"/>
    <x v="1"/>
    <s v="South"/>
    <s v="Mobile"/>
    <s v="Organic"/>
    <s v="Free"/>
    <n v="1"/>
    <n v="0"/>
    <n v="0"/>
    <n v="0"/>
    <n v="0"/>
    <n v="1"/>
    <n v="0"/>
    <m/>
    <n v="66.2"/>
  </r>
  <r>
    <s v="USR-101112"/>
    <d v="2025-03-26T00:00:00"/>
    <x v="1"/>
    <s v="South"/>
    <s v="Mobile"/>
    <s v="Organic"/>
    <s v="Free"/>
    <n v="1"/>
    <n v="1"/>
    <n v="1"/>
    <n v="0"/>
    <n v="0"/>
    <n v="1"/>
    <n v="0"/>
    <m/>
    <n v="43.9"/>
  </r>
  <r>
    <s v="USR-101113"/>
    <d v="2025-01-31T00:00:00"/>
    <x v="1"/>
    <s v="South"/>
    <s v="Mobile"/>
    <s v="Organic"/>
    <s v="Basic"/>
    <n v="1"/>
    <n v="1"/>
    <n v="1"/>
    <n v="0"/>
    <n v="0"/>
    <n v="2"/>
    <n v="0"/>
    <m/>
    <n v="59.1"/>
  </r>
  <r>
    <s v="USR-101114"/>
    <d v="2025-01-25T00:00:00"/>
    <x v="1"/>
    <s v="South"/>
    <s v="Mobile"/>
    <s v="Social"/>
    <s v="Free"/>
    <n v="1"/>
    <n v="1"/>
    <n v="1"/>
    <n v="1"/>
    <n v="416.94"/>
    <n v="1"/>
    <n v="0"/>
    <n v="11"/>
    <n v="67"/>
  </r>
  <r>
    <s v="USR-101115"/>
    <d v="2025-02-06T00:00:00"/>
    <x v="1"/>
    <s v="West"/>
    <s v="Mobile"/>
    <s v="Referral"/>
    <s v="Basic"/>
    <n v="1"/>
    <n v="0"/>
    <n v="0"/>
    <n v="0"/>
    <n v="0"/>
    <n v="0"/>
    <n v="0"/>
    <m/>
    <n v="47.9"/>
  </r>
  <r>
    <s v="USR-101116"/>
    <d v="2025-03-10T00:00:00"/>
    <x v="1"/>
    <s v="East"/>
    <s v="Mobile"/>
    <s v="Paid Search"/>
    <s v="Free"/>
    <n v="1"/>
    <n v="1"/>
    <n v="0"/>
    <n v="0"/>
    <n v="0"/>
    <n v="0"/>
    <n v="0"/>
    <m/>
    <n v="41.5"/>
  </r>
  <r>
    <s v="USR-101117"/>
    <d v="2025-01-26T00:00:00"/>
    <x v="1"/>
    <s v="West"/>
    <s v="Mobile"/>
    <s v="Organic"/>
    <s v="Basic"/>
    <n v="1"/>
    <n v="1"/>
    <n v="1"/>
    <n v="0"/>
    <n v="0"/>
    <n v="3"/>
    <n v="0"/>
    <m/>
    <n v="30.6"/>
  </r>
  <r>
    <s v="USR-101118"/>
    <d v="2025-01-01T00:00:00"/>
    <x v="1"/>
    <s v="East"/>
    <s v="Mobile"/>
    <s v="Paid Search"/>
    <s v="Free"/>
    <n v="1"/>
    <n v="1"/>
    <n v="0"/>
    <n v="0"/>
    <n v="0"/>
    <n v="0"/>
    <n v="0"/>
    <m/>
    <n v="91.5"/>
  </r>
  <r>
    <s v="USR-101119"/>
    <d v="2025-04-28T00:00:00"/>
    <x v="1"/>
    <s v="North"/>
    <s v="Desktop"/>
    <s v="Social"/>
    <s v="Basic"/>
    <n v="1"/>
    <n v="0"/>
    <n v="0"/>
    <n v="0"/>
    <n v="0"/>
    <n v="0"/>
    <n v="0"/>
    <m/>
    <n v="80.8"/>
  </r>
  <r>
    <s v="USR-101120"/>
    <d v="2025-04-04T00:00:00"/>
    <x v="1"/>
    <s v="North"/>
    <s v="Mobile"/>
    <s v="Organic"/>
    <s v="Premium"/>
    <n v="1"/>
    <n v="0"/>
    <n v="0"/>
    <n v="0"/>
    <n v="0"/>
    <n v="0"/>
    <n v="0"/>
    <m/>
    <n v="68.099999999999994"/>
  </r>
  <r>
    <s v="USR-101121"/>
    <d v="2025-03-02T00:00:00"/>
    <x v="1"/>
    <s v="East"/>
    <s v="Mobile"/>
    <s v="Paid Search"/>
    <s v="Free"/>
    <n v="1"/>
    <n v="0"/>
    <n v="0"/>
    <n v="0"/>
    <n v="0"/>
    <n v="0"/>
    <n v="0"/>
    <m/>
    <n v="80.3"/>
  </r>
  <r>
    <s v="USR-101122"/>
    <d v="2025-03-19T00:00:00"/>
    <x v="1"/>
    <s v="South"/>
    <s v="Tablet"/>
    <s v="Organic"/>
    <s v="Basic"/>
    <n v="1"/>
    <n v="0"/>
    <n v="0"/>
    <n v="0"/>
    <n v="0"/>
    <n v="0"/>
    <n v="0"/>
    <m/>
    <n v="44.4"/>
  </r>
  <r>
    <s v="USR-101123"/>
    <d v="2025-01-20T00:00:00"/>
    <x v="1"/>
    <s v="South"/>
    <s v="Desktop"/>
    <s v="Organic"/>
    <s v="Basic"/>
    <n v="0"/>
    <n v="0"/>
    <n v="0"/>
    <n v="0"/>
    <n v="0"/>
    <n v="0"/>
    <n v="0"/>
    <m/>
    <n v="51.9"/>
  </r>
  <r>
    <s v="USR-101124"/>
    <d v="2025-04-03T00:00:00"/>
    <x v="1"/>
    <s v="East"/>
    <s v="Mobile"/>
    <s v="Paid Search"/>
    <s v="Free"/>
    <n v="1"/>
    <n v="1"/>
    <n v="0"/>
    <n v="0"/>
    <n v="0"/>
    <n v="0"/>
    <n v="0"/>
    <m/>
    <n v="49.8"/>
  </r>
  <r>
    <s v="USR-101125"/>
    <d v="2025-01-11T00:00:00"/>
    <x v="1"/>
    <s v="East"/>
    <s v="Desktop"/>
    <s v="Social"/>
    <s v="Free"/>
    <n v="1"/>
    <n v="1"/>
    <n v="1"/>
    <n v="0"/>
    <n v="0"/>
    <n v="3"/>
    <n v="0"/>
    <m/>
    <n v="62.1"/>
  </r>
  <r>
    <s v="USR-101126"/>
    <d v="2025-02-02T00:00:00"/>
    <x v="1"/>
    <s v="West"/>
    <s v="Desktop"/>
    <s v="Social"/>
    <s v="Basic"/>
    <n v="1"/>
    <n v="0"/>
    <n v="0"/>
    <n v="0"/>
    <n v="0"/>
    <n v="0"/>
    <n v="0"/>
    <m/>
    <n v="91.3"/>
  </r>
  <r>
    <s v="USR-101127"/>
    <d v="2025-04-01T00:00:00"/>
    <x v="1"/>
    <s v="South"/>
    <s v="Mobile"/>
    <s v="Organic"/>
    <s v="Basic"/>
    <n v="1"/>
    <n v="0"/>
    <n v="0"/>
    <n v="0"/>
    <n v="0"/>
    <n v="0"/>
    <n v="0"/>
    <m/>
    <n v="66.400000000000006"/>
  </r>
  <r>
    <s v="USR-101128"/>
    <d v="2025-05-22T00:00:00"/>
    <x v="1"/>
    <s v="East"/>
    <s v="Mobile"/>
    <s v="Organic"/>
    <s v="Basic"/>
    <n v="1"/>
    <n v="0"/>
    <n v="0"/>
    <n v="0"/>
    <n v="0"/>
    <n v="0"/>
    <n v="0"/>
    <m/>
    <n v="41.5"/>
  </r>
  <r>
    <s v="USR-101129"/>
    <d v="2025-02-20T00:00:00"/>
    <x v="1"/>
    <s v="West"/>
    <s v="Mobile"/>
    <s v="Organic"/>
    <s v="Basic"/>
    <n v="0"/>
    <n v="0"/>
    <n v="0"/>
    <n v="0"/>
    <n v="0"/>
    <n v="0"/>
    <n v="0"/>
    <m/>
    <n v="77.099999999999994"/>
  </r>
  <r>
    <s v="USR-101130"/>
    <d v="2025-03-21T00:00:00"/>
    <x v="1"/>
    <s v="West"/>
    <s v="Mobile"/>
    <s v="Organic"/>
    <s v="Free"/>
    <n v="1"/>
    <n v="0"/>
    <n v="0"/>
    <n v="0"/>
    <n v="0"/>
    <n v="0"/>
    <n v="0"/>
    <m/>
    <n v="63.2"/>
  </r>
  <r>
    <s v="USR-101131"/>
    <d v="2025-05-01T00:00:00"/>
    <x v="1"/>
    <s v="West"/>
    <s v="Desktop"/>
    <s v="Referral"/>
    <s v="Free"/>
    <n v="1"/>
    <n v="1"/>
    <n v="1"/>
    <n v="0"/>
    <n v="0"/>
    <n v="3"/>
    <n v="0"/>
    <m/>
    <n v="75.7"/>
  </r>
  <r>
    <s v="USR-101132"/>
    <d v="2025-01-06T00:00:00"/>
    <x v="1"/>
    <s v="West"/>
    <s v="Mobile"/>
    <s v="Paid Search"/>
    <s v="Basic"/>
    <n v="0"/>
    <n v="0"/>
    <n v="0"/>
    <n v="0"/>
    <n v="0"/>
    <n v="0"/>
    <n v="0"/>
    <m/>
    <n v="62.9"/>
  </r>
  <r>
    <s v="USR-101133"/>
    <d v="2025-04-12T00:00:00"/>
    <x v="1"/>
    <s v="North"/>
    <s v="Desktop"/>
    <s v="Paid Search"/>
    <s v="Premium"/>
    <n v="1"/>
    <n v="0"/>
    <n v="0"/>
    <n v="0"/>
    <n v="0"/>
    <n v="3"/>
    <n v="0"/>
    <m/>
    <n v="64.599999999999994"/>
  </r>
  <r>
    <s v="USR-101134"/>
    <d v="2025-04-18T00:00:00"/>
    <x v="1"/>
    <s v="North"/>
    <s v="Mobile"/>
    <m/>
    <s v="Basic"/>
    <n v="1"/>
    <n v="0"/>
    <n v="0"/>
    <n v="0"/>
    <n v="0"/>
    <n v="0"/>
    <n v="0"/>
    <m/>
    <n v="76.599999999999994"/>
  </r>
  <r>
    <s v="USR-101135"/>
    <d v="2025-03-24T00:00:00"/>
    <x v="1"/>
    <s v="East"/>
    <s v="Mobile"/>
    <s v="Social"/>
    <s v="Basic"/>
    <n v="1"/>
    <n v="0"/>
    <n v="0"/>
    <n v="0"/>
    <n v="0"/>
    <n v="0"/>
    <n v="0"/>
    <m/>
    <n v="74.8"/>
  </r>
  <r>
    <s v="USR-101136"/>
    <d v="2025-03-18T00:00:00"/>
    <x v="1"/>
    <s v="East"/>
    <s v="Desktop"/>
    <s v="Email"/>
    <s v="Premium"/>
    <n v="1"/>
    <n v="0"/>
    <n v="0"/>
    <n v="0"/>
    <n v="0"/>
    <n v="2"/>
    <n v="0"/>
    <m/>
    <n v="38.1"/>
  </r>
  <r>
    <s v="USR-101137"/>
    <d v="2025-04-30T00:00:00"/>
    <x v="1"/>
    <s v="South"/>
    <s v="Tablet"/>
    <s v="Paid Search"/>
    <s v="Basic"/>
    <n v="1"/>
    <n v="1"/>
    <n v="0"/>
    <n v="0"/>
    <n v="0"/>
    <n v="0"/>
    <n v="0"/>
    <m/>
    <n v="60.2"/>
  </r>
  <r>
    <s v="USR-101138"/>
    <d v="2025-01-25T00:00:00"/>
    <x v="1"/>
    <s v="West"/>
    <s v="Mobile"/>
    <s v="Email"/>
    <s v="Free"/>
    <n v="1"/>
    <n v="1"/>
    <n v="0"/>
    <n v="0"/>
    <n v="0"/>
    <n v="0"/>
    <n v="0"/>
    <m/>
    <n v="73.5"/>
  </r>
  <r>
    <s v="USR-101139"/>
    <d v="2025-04-10T00:00:00"/>
    <x v="1"/>
    <s v="South"/>
    <s v="Mobile"/>
    <s v="Organic"/>
    <s v="Free"/>
    <n v="1"/>
    <n v="0"/>
    <n v="0"/>
    <n v="0"/>
    <n v="0"/>
    <n v="0"/>
    <n v="0"/>
    <m/>
    <n v="70.900000000000006"/>
  </r>
  <r>
    <s v="USR-101140"/>
    <d v="2025-01-10T00:00:00"/>
    <x v="1"/>
    <s v="West"/>
    <s v="Mobile"/>
    <s v="Social"/>
    <s v="Free"/>
    <n v="1"/>
    <n v="0"/>
    <n v="0"/>
    <n v="0"/>
    <n v="0"/>
    <n v="0"/>
    <n v="0"/>
    <m/>
    <n v="63.7"/>
  </r>
  <r>
    <s v="USR-101141"/>
    <d v="2025-02-11T00:00:00"/>
    <x v="1"/>
    <s v="South"/>
    <s v="Mobile"/>
    <s v="Paid Search"/>
    <s v="Free"/>
    <n v="1"/>
    <n v="0"/>
    <n v="0"/>
    <n v="0"/>
    <n v="0"/>
    <n v="0"/>
    <n v="0"/>
    <m/>
    <n v="86.5"/>
  </r>
  <r>
    <s v="USR-101142"/>
    <d v="2025-05-01T00:00:00"/>
    <x v="1"/>
    <s v="East"/>
    <s v="Mobile"/>
    <s v="Social"/>
    <s v="Basic"/>
    <n v="1"/>
    <n v="1"/>
    <n v="1"/>
    <n v="1"/>
    <n v="921.72"/>
    <n v="3"/>
    <n v="0"/>
    <n v="7"/>
    <n v="74.599999999999994"/>
  </r>
  <r>
    <s v="USR-101143"/>
    <d v="2025-01-18T00:00:00"/>
    <x v="1"/>
    <s v="East"/>
    <s v="Mobile"/>
    <s v="Organic"/>
    <s v="Free"/>
    <n v="1"/>
    <n v="0"/>
    <n v="0"/>
    <n v="0"/>
    <n v="0"/>
    <n v="0"/>
    <n v="0"/>
    <m/>
    <n v="46.6"/>
  </r>
  <r>
    <s v="USR-101144"/>
    <d v="2025-01-02T00:00:00"/>
    <x v="1"/>
    <s v="North"/>
    <s v="Mobile"/>
    <s v="Paid Search"/>
    <s v="Free"/>
    <n v="0"/>
    <n v="0"/>
    <n v="0"/>
    <n v="0"/>
    <n v="0"/>
    <n v="0"/>
    <n v="0"/>
    <m/>
    <n v="61.2"/>
  </r>
  <r>
    <s v="USR-101145"/>
    <d v="2025-05-11T00:00:00"/>
    <x v="1"/>
    <s v="West"/>
    <s v="Mobile"/>
    <s v="Organic"/>
    <s v="Free"/>
    <n v="1"/>
    <n v="1"/>
    <n v="1"/>
    <n v="1"/>
    <n v="290.39"/>
    <n v="0"/>
    <n v="0"/>
    <n v="4"/>
    <n v="54.4"/>
  </r>
  <r>
    <s v="USR-101146"/>
    <d v="2025-03-22T00:00:00"/>
    <x v="1"/>
    <s v="North"/>
    <s v="Mobile"/>
    <s v="Referral"/>
    <s v="Free"/>
    <n v="1"/>
    <n v="1"/>
    <n v="1"/>
    <n v="0"/>
    <n v="0"/>
    <n v="0"/>
    <n v="0"/>
    <m/>
    <n v="72"/>
  </r>
  <r>
    <s v="USR-101147"/>
    <d v="2025-05-02T00:00:00"/>
    <x v="1"/>
    <s v="South"/>
    <s v="Mobile"/>
    <s v="Social"/>
    <s v="Premium"/>
    <n v="1"/>
    <n v="1"/>
    <n v="1"/>
    <n v="1"/>
    <n v="1858.85"/>
    <n v="0"/>
    <n v="0"/>
    <n v="8"/>
    <n v="88.6"/>
  </r>
  <r>
    <s v="USR-101148"/>
    <d v="2025-05-26T00:00:00"/>
    <x v="1"/>
    <s v="East"/>
    <s v="Desktop"/>
    <m/>
    <s v="Basic"/>
    <n v="1"/>
    <n v="0"/>
    <n v="0"/>
    <n v="0"/>
    <n v="0"/>
    <n v="0"/>
    <n v="0"/>
    <m/>
    <n v="77.599999999999994"/>
  </r>
  <r>
    <s v="USR-101149"/>
    <d v="2025-03-13T00:00:00"/>
    <x v="1"/>
    <s v="South"/>
    <s v="Mobile"/>
    <s v="Organic"/>
    <s v="Basic"/>
    <n v="1"/>
    <n v="0"/>
    <n v="0"/>
    <n v="0"/>
    <n v="0"/>
    <n v="1"/>
    <n v="0"/>
    <m/>
    <n v="44.3"/>
  </r>
  <r>
    <s v="USR-101150"/>
    <d v="2025-05-17T00:00:00"/>
    <x v="1"/>
    <s v="South"/>
    <s v="Desktop"/>
    <s v="Paid Search"/>
    <s v="Free"/>
    <n v="1"/>
    <n v="1"/>
    <n v="0"/>
    <n v="0"/>
    <n v="0"/>
    <n v="0"/>
    <n v="0"/>
    <m/>
    <n v="49"/>
  </r>
  <r>
    <s v="USR-101151"/>
    <d v="2025-03-13T00:00:00"/>
    <x v="1"/>
    <s v="North"/>
    <s v="Desktop"/>
    <s v="Referral"/>
    <s v="Premium"/>
    <n v="1"/>
    <n v="0"/>
    <n v="0"/>
    <n v="0"/>
    <n v="0"/>
    <n v="0"/>
    <n v="0"/>
    <m/>
    <n v="53.9"/>
  </r>
  <r>
    <s v="USR-101152"/>
    <d v="2025-02-11T00:00:00"/>
    <x v="1"/>
    <s v="East"/>
    <s v="Desktop"/>
    <s v="Organic"/>
    <s v="Basic"/>
    <n v="1"/>
    <n v="0"/>
    <n v="0"/>
    <n v="0"/>
    <n v="0"/>
    <n v="1"/>
    <n v="0"/>
    <m/>
    <n v="69"/>
  </r>
  <r>
    <s v="USR-101153"/>
    <d v="2025-03-01T00:00:00"/>
    <x v="1"/>
    <s v="West"/>
    <s v="Mobile"/>
    <s v="Social"/>
    <s v="Free"/>
    <n v="0"/>
    <n v="0"/>
    <n v="0"/>
    <n v="0"/>
    <n v="0"/>
    <n v="0"/>
    <n v="0"/>
    <m/>
    <n v="37.4"/>
  </r>
  <r>
    <s v="USR-101154"/>
    <d v="2025-04-15T00:00:00"/>
    <x v="1"/>
    <s v="West"/>
    <s v="Mobile"/>
    <s v="Organic"/>
    <s v="Basic"/>
    <n v="0"/>
    <n v="0"/>
    <n v="0"/>
    <n v="0"/>
    <n v="0"/>
    <n v="0"/>
    <n v="0"/>
    <m/>
    <n v="59"/>
  </r>
  <r>
    <s v="USR-101155"/>
    <d v="2025-02-02T00:00:00"/>
    <x v="1"/>
    <s v="East"/>
    <s v="Mobile"/>
    <s v="Organic"/>
    <s v="Premium"/>
    <n v="1"/>
    <n v="0"/>
    <n v="0"/>
    <n v="0"/>
    <n v="0"/>
    <n v="0"/>
    <n v="0"/>
    <m/>
    <n v="60.8"/>
  </r>
  <r>
    <s v="USR-101156"/>
    <d v="2025-05-19T00:00:00"/>
    <x v="1"/>
    <s v="South"/>
    <s v="Mobile"/>
    <s v="Email"/>
    <s v="Free"/>
    <n v="1"/>
    <n v="0"/>
    <n v="0"/>
    <n v="0"/>
    <n v="0"/>
    <n v="0"/>
    <n v="0"/>
    <m/>
    <n v="57.5"/>
  </r>
  <r>
    <s v="USR-101157"/>
    <d v="2025-01-05T00:00:00"/>
    <x v="1"/>
    <s v="West"/>
    <s v="Mobile"/>
    <s v="Referral"/>
    <s v="Free"/>
    <n v="0"/>
    <n v="0"/>
    <n v="0"/>
    <n v="0"/>
    <n v="0"/>
    <n v="0"/>
    <n v="0"/>
    <m/>
    <n v="84.2"/>
  </r>
  <r>
    <s v="USR-101158"/>
    <d v="2025-03-08T00:00:00"/>
    <x v="1"/>
    <s v="South"/>
    <s v="Mobile"/>
    <s v="Paid Search"/>
    <s v="Free"/>
    <n v="1"/>
    <n v="1"/>
    <n v="0"/>
    <n v="0"/>
    <n v="0"/>
    <n v="0"/>
    <n v="0"/>
    <m/>
    <n v="27.4"/>
  </r>
  <r>
    <s v="USR-101159"/>
    <d v="2025-03-12T00:00:00"/>
    <x v="1"/>
    <s v="West"/>
    <s v="Mobile"/>
    <s v="Email"/>
    <s v="Basic"/>
    <n v="1"/>
    <n v="0"/>
    <n v="0"/>
    <n v="0"/>
    <n v="0"/>
    <n v="1"/>
    <n v="0"/>
    <m/>
    <n v="67.599999999999994"/>
  </r>
  <r>
    <s v="USR-101160"/>
    <d v="2025-01-24T00:00:00"/>
    <x v="1"/>
    <s v="West"/>
    <s v="Mobile"/>
    <s v="Organic"/>
    <s v="Free"/>
    <n v="0"/>
    <n v="0"/>
    <n v="0"/>
    <n v="0"/>
    <n v="0"/>
    <n v="0"/>
    <n v="0"/>
    <m/>
    <n v="68.400000000000006"/>
  </r>
  <r>
    <s v="USR-101161"/>
    <d v="2025-05-22T00:00:00"/>
    <x v="1"/>
    <s v="South"/>
    <s v="Mobile"/>
    <s v="Paid Search"/>
    <s v="Basic"/>
    <n v="1"/>
    <n v="1"/>
    <n v="1"/>
    <n v="0"/>
    <n v="0"/>
    <n v="0"/>
    <n v="0"/>
    <m/>
    <n v="66.5"/>
  </r>
  <r>
    <s v="USR-101162"/>
    <d v="2025-03-27T00:00:00"/>
    <x v="1"/>
    <s v="South"/>
    <s v="Mobile"/>
    <s v="Paid Search"/>
    <s v="Free"/>
    <n v="1"/>
    <n v="0"/>
    <n v="0"/>
    <n v="0"/>
    <n v="0"/>
    <n v="0"/>
    <n v="0"/>
    <m/>
    <n v="38.200000000000003"/>
  </r>
  <r>
    <s v="USR-101163"/>
    <d v="2025-01-02T00:00:00"/>
    <x v="1"/>
    <s v="West"/>
    <s v="Mobile"/>
    <s v="Social"/>
    <s v="Free"/>
    <n v="0"/>
    <n v="0"/>
    <n v="0"/>
    <n v="0"/>
    <n v="0"/>
    <n v="1"/>
    <n v="0"/>
    <m/>
    <n v="66.7"/>
  </r>
  <r>
    <s v="USR-101164"/>
    <d v="2025-02-24T00:00:00"/>
    <x v="1"/>
    <s v="North"/>
    <s v="Mobile"/>
    <s v="Paid Search"/>
    <s v="Free"/>
    <n v="0"/>
    <n v="0"/>
    <n v="0"/>
    <n v="0"/>
    <n v="0"/>
    <n v="1"/>
    <n v="0"/>
    <m/>
    <n v="73.7"/>
  </r>
  <r>
    <s v="USR-101165"/>
    <d v="2025-03-01T00:00:00"/>
    <x v="1"/>
    <s v="West"/>
    <s v="Desktop"/>
    <s v="Organic"/>
    <s v="Basic"/>
    <n v="1"/>
    <n v="1"/>
    <n v="1"/>
    <n v="0"/>
    <n v="0"/>
    <n v="0"/>
    <n v="0"/>
    <m/>
    <n v="63.9"/>
  </r>
  <r>
    <s v="USR-101166"/>
    <d v="2025-03-26T00:00:00"/>
    <x v="1"/>
    <s v="South"/>
    <s v="Tablet"/>
    <s v="Organic"/>
    <s v="Basic"/>
    <n v="1"/>
    <n v="0"/>
    <n v="0"/>
    <n v="0"/>
    <n v="0"/>
    <n v="1"/>
    <n v="0"/>
    <m/>
    <n v="82.6"/>
  </r>
  <r>
    <s v="USR-101167"/>
    <d v="2025-05-25T00:00:00"/>
    <x v="1"/>
    <s v="East"/>
    <s v="Mobile"/>
    <s v="Paid Search"/>
    <s v="Free"/>
    <n v="0"/>
    <n v="0"/>
    <n v="0"/>
    <n v="0"/>
    <n v="0"/>
    <n v="1"/>
    <n v="0"/>
    <m/>
    <n v="58.3"/>
  </r>
  <r>
    <s v="USR-101168"/>
    <d v="2025-02-25T00:00:00"/>
    <x v="1"/>
    <s v="West"/>
    <s v="Mobile"/>
    <s v="Referral"/>
    <s v="Premium"/>
    <n v="1"/>
    <n v="1"/>
    <n v="1"/>
    <n v="1"/>
    <n v="1547.06"/>
    <n v="0"/>
    <n v="1"/>
    <n v="2"/>
    <n v="72.900000000000006"/>
  </r>
  <r>
    <s v="USR-101169"/>
    <d v="2025-03-23T00:00:00"/>
    <x v="1"/>
    <s v="South"/>
    <s v="Mobile"/>
    <s v="Social"/>
    <s v="Free"/>
    <n v="1"/>
    <n v="1"/>
    <n v="1"/>
    <n v="0"/>
    <n v="0"/>
    <n v="2"/>
    <n v="0"/>
    <m/>
    <n v="53.5"/>
  </r>
  <r>
    <s v="USR-101170"/>
    <d v="2025-04-21T00:00:00"/>
    <x v="1"/>
    <s v="West"/>
    <s v="Mobile"/>
    <s v="Referral"/>
    <s v="Free"/>
    <n v="1"/>
    <n v="0"/>
    <n v="0"/>
    <n v="0"/>
    <n v="0"/>
    <n v="0"/>
    <n v="0"/>
    <m/>
    <n v="54.8"/>
  </r>
  <r>
    <s v="USR-101171"/>
    <d v="2025-05-21T00:00:00"/>
    <x v="1"/>
    <s v="North"/>
    <s v="Mobile"/>
    <s v="Organic"/>
    <s v="Premium"/>
    <n v="1"/>
    <n v="0"/>
    <n v="0"/>
    <n v="0"/>
    <n v="0"/>
    <n v="0"/>
    <n v="0"/>
    <m/>
    <n v="69.5"/>
  </r>
  <r>
    <s v="USR-101172"/>
    <d v="2025-04-25T00:00:00"/>
    <x v="1"/>
    <s v="North"/>
    <s v="Desktop"/>
    <s v="Social"/>
    <s v="Free"/>
    <n v="1"/>
    <n v="0"/>
    <n v="0"/>
    <n v="0"/>
    <n v="0"/>
    <n v="1"/>
    <n v="0"/>
    <m/>
    <n v="71.3"/>
  </r>
  <r>
    <s v="USR-101173"/>
    <d v="2025-05-23T00:00:00"/>
    <x v="1"/>
    <s v="West"/>
    <s v="Mobile"/>
    <s v="Referral"/>
    <s v="Basic"/>
    <n v="1"/>
    <n v="0"/>
    <n v="0"/>
    <n v="0"/>
    <n v="0"/>
    <n v="1"/>
    <n v="0"/>
    <m/>
    <n v="57.5"/>
  </r>
  <r>
    <s v="USR-101174"/>
    <d v="2025-03-18T00:00:00"/>
    <x v="1"/>
    <s v="South"/>
    <s v="Mobile"/>
    <s v="Email"/>
    <s v="Free"/>
    <n v="1"/>
    <n v="0"/>
    <n v="0"/>
    <n v="0"/>
    <n v="0"/>
    <n v="4"/>
    <n v="0"/>
    <m/>
    <n v="50.9"/>
  </r>
  <r>
    <s v="USR-101175"/>
    <d v="2025-01-03T00:00:00"/>
    <x v="1"/>
    <s v="South"/>
    <s v="Tablet"/>
    <s v="Organic"/>
    <s v="Free"/>
    <n v="1"/>
    <n v="1"/>
    <n v="1"/>
    <n v="0"/>
    <n v="0"/>
    <n v="0"/>
    <n v="0"/>
    <m/>
    <n v="69.3"/>
  </r>
  <r>
    <s v="USR-101176"/>
    <d v="2025-02-08T00:00:00"/>
    <x v="1"/>
    <s v="West"/>
    <s v="Desktop"/>
    <s v="Organic"/>
    <s v="Free"/>
    <n v="1"/>
    <n v="0"/>
    <n v="0"/>
    <n v="0"/>
    <n v="0"/>
    <n v="0"/>
    <n v="0"/>
    <m/>
    <n v="50.1"/>
  </r>
  <r>
    <s v="USR-101177"/>
    <d v="2025-02-04T00:00:00"/>
    <x v="1"/>
    <s v="East"/>
    <m/>
    <s v="Paid Search"/>
    <s v="Basic"/>
    <n v="0"/>
    <n v="0"/>
    <n v="0"/>
    <n v="0"/>
    <n v="0"/>
    <n v="0"/>
    <n v="0"/>
    <m/>
    <n v="69.7"/>
  </r>
  <r>
    <s v="USR-101178"/>
    <d v="2025-01-16T00:00:00"/>
    <x v="1"/>
    <s v="North"/>
    <s v="Mobile"/>
    <s v="Paid Search"/>
    <s v="Free"/>
    <n v="0"/>
    <n v="0"/>
    <n v="0"/>
    <n v="0"/>
    <n v="0"/>
    <n v="0"/>
    <n v="0"/>
    <m/>
    <n v="63.5"/>
  </r>
  <r>
    <s v="USR-101179"/>
    <d v="2025-04-04T00:00:00"/>
    <x v="1"/>
    <s v="West"/>
    <s v="Desktop"/>
    <s v="Paid Search"/>
    <s v="Free"/>
    <n v="1"/>
    <n v="1"/>
    <n v="1"/>
    <n v="1"/>
    <n v="265.58999999999997"/>
    <n v="1"/>
    <n v="0"/>
    <n v="8"/>
    <n v="80.400000000000006"/>
  </r>
  <r>
    <s v="USR-101180"/>
    <d v="2025-01-23T00:00:00"/>
    <x v="1"/>
    <s v="North"/>
    <s v="Desktop"/>
    <s v="Paid Search"/>
    <s v="Free"/>
    <n v="0"/>
    <n v="0"/>
    <n v="0"/>
    <n v="0"/>
    <n v="0"/>
    <n v="0"/>
    <n v="0"/>
    <m/>
    <n v="58.9"/>
  </r>
  <r>
    <s v="USR-101181"/>
    <d v="2025-03-22T00:00:00"/>
    <x v="1"/>
    <s v="South"/>
    <s v="Desktop"/>
    <s v="Paid Search"/>
    <s v="Free"/>
    <n v="1"/>
    <n v="0"/>
    <n v="0"/>
    <n v="0"/>
    <n v="0"/>
    <n v="0"/>
    <n v="0"/>
    <m/>
    <n v="56.8"/>
  </r>
  <r>
    <s v="USR-101182"/>
    <d v="2025-02-02T00:00:00"/>
    <x v="1"/>
    <s v="East"/>
    <s v="Tablet"/>
    <s v="Social"/>
    <s v="Premium"/>
    <n v="0"/>
    <n v="0"/>
    <n v="0"/>
    <n v="0"/>
    <n v="0"/>
    <n v="0"/>
    <n v="0"/>
    <m/>
    <n v="73.900000000000006"/>
  </r>
  <r>
    <s v="USR-101183"/>
    <d v="2025-01-31T00:00:00"/>
    <x v="1"/>
    <s v="North"/>
    <s v="Desktop"/>
    <s v="Paid Search"/>
    <s v="Free"/>
    <n v="0"/>
    <n v="0"/>
    <n v="0"/>
    <n v="0"/>
    <n v="0"/>
    <n v="0"/>
    <n v="0"/>
    <m/>
    <n v="76.3"/>
  </r>
  <r>
    <s v="USR-101184"/>
    <d v="2025-05-27T00:00:00"/>
    <x v="1"/>
    <s v="West"/>
    <s v="Mobile"/>
    <s v="Organic"/>
    <s v="Basic"/>
    <n v="1"/>
    <n v="0"/>
    <n v="0"/>
    <n v="0"/>
    <n v="0"/>
    <n v="0"/>
    <n v="0"/>
    <m/>
    <n v="56.9"/>
  </r>
  <r>
    <s v="USR-101185"/>
    <d v="2025-05-07T00:00:00"/>
    <x v="1"/>
    <s v="North"/>
    <s v="Mobile"/>
    <s v="Organic"/>
    <s v="Premium"/>
    <n v="1"/>
    <n v="0"/>
    <n v="0"/>
    <n v="0"/>
    <n v="0"/>
    <n v="2"/>
    <n v="0"/>
    <m/>
    <n v="49.4"/>
  </r>
  <r>
    <s v="USR-101186"/>
    <d v="2025-05-08T00:00:00"/>
    <x v="1"/>
    <s v="North"/>
    <s v="Desktop"/>
    <s v="Paid Search"/>
    <s v="Basic"/>
    <n v="1"/>
    <n v="0"/>
    <n v="0"/>
    <n v="0"/>
    <n v="0"/>
    <n v="0"/>
    <n v="0"/>
    <m/>
    <n v="86.7"/>
  </r>
  <r>
    <s v="USR-101187"/>
    <d v="2025-01-15T00:00:00"/>
    <x v="1"/>
    <s v="West"/>
    <s v="Desktop"/>
    <s v="Email"/>
    <s v="Free"/>
    <n v="1"/>
    <n v="0"/>
    <n v="0"/>
    <n v="0"/>
    <n v="0"/>
    <n v="3"/>
    <n v="0"/>
    <m/>
    <n v="69"/>
  </r>
  <r>
    <s v="USR-101188"/>
    <d v="2025-01-18T00:00:00"/>
    <x v="1"/>
    <s v="North"/>
    <s v="Mobile"/>
    <s v="Paid Search"/>
    <s v="Free"/>
    <n v="0"/>
    <n v="0"/>
    <n v="0"/>
    <n v="0"/>
    <n v="0"/>
    <n v="0"/>
    <n v="0"/>
    <m/>
    <n v="84.5"/>
  </r>
  <r>
    <s v="USR-101189"/>
    <d v="2025-04-16T00:00:00"/>
    <x v="1"/>
    <s v="East"/>
    <m/>
    <s v="Referral"/>
    <s v="Free"/>
    <n v="1"/>
    <n v="0"/>
    <n v="0"/>
    <n v="0"/>
    <n v="0"/>
    <n v="0"/>
    <n v="0"/>
    <m/>
    <n v="66.3"/>
  </r>
  <r>
    <s v="USR-101190"/>
    <d v="2025-02-16T00:00:00"/>
    <x v="1"/>
    <s v="East"/>
    <s v="Desktop"/>
    <s v="Paid Search"/>
    <s v="Free"/>
    <n v="0"/>
    <n v="0"/>
    <n v="0"/>
    <n v="0"/>
    <n v="0"/>
    <n v="0"/>
    <n v="0"/>
    <m/>
    <n v="52.2"/>
  </r>
  <r>
    <s v="USR-101191"/>
    <d v="2025-04-17T00:00:00"/>
    <x v="1"/>
    <s v="South"/>
    <s v="Desktop"/>
    <s v="Referral"/>
    <s v="Premium"/>
    <n v="1"/>
    <n v="1"/>
    <n v="1"/>
    <n v="0"/>
    <n v="0"/>
    <n v="0"/>
    <n v="0"/>
    <m/>
    <n v="81.2"/>
  </r>
  <r>
    <s v="USR-101192"/>
    <d v="2025-04-30T00:00:00"/>
    <x v="1"/>
    <s v="South"/>
    <s v="Mobile"/>
    <s v="Organic"/>
    <s v="Basic"/>
    <n v="0"/>
    <n v="0"/>
    <n v="0"/>
    <n v="0"/>
    <n v="0"/>
    <n v="0"/>
    <n v="0"/>
    <m/>
    <n v="53.9"/>
  </r>
  <r>
    <s v="USR-101193"/>
    <d v="2025-01-29T00:00:00"/>
    <x v="1"/>
    <s v="West"/>
    <s v="Mobile"/>
    <s v="Social"/>
    <s v="Premium"/>
    <n v="0"/>
    <n v="0"/>
    <n v="0"/>
    <n v="0"/>
    <n v="0"/>
    <n v="0"/>
    <n v="0"/>
    <m/>
    <n v="39.1"/>
  </r>
  <r>
    <s v="USR-101194"/>
    <d v="2025-01-11T00:00:00"/>
    <x v="1"/>
    <s v="North"/>
    <s v="Mobile"/>
    <s v="Social"/>
    <s v="Basic"/>
    <n v="0"/>
    <n v="0"/>
    <n v="0"/>
    <n v="0"/>
    <n v="0"/>
    <n v="0"/>
    <n v="0"/>
    <m/>
    <n v="57.3"/>
  </r>
  <r>
    <s v="USR-101195"/>
    <d v="2025-04-08T00:00:00"/>
    <x v="1"/>
    <s v="East"/>
    <s v="Desktop"/>
    <s v="Paid Search"/>
    <s v="Premium"/>
    <n v="1"/>
    <n v="0"/>
    <n v="0"/>
    <n v="0"/>
    <n v="0"/>
    <n v="1"/>
    <n v="0"/>
    <m/>
    <n v="65.900000000000006"/>
  </r>
  <r>
    <s v="USR-101196"/>
    <d v="2025-02-22T00:00:00"/>
    <x v="1"/>
    <s v="North"/>
    <m/>
    <s v="Social"/>
    <s v="Free"/>
    <n v="1"/>
    <n v="0"/>
    <n v="0"/>
    <n v="0"/>
    <n v="0"/>
    <n v="1"/>
    <n v="0"/>
    <m/>
    <n v="34.200000000000003"/>
  </r>
  <r>
    <s v="USR-101197"/>
    <d v="2025-03-23T00:00:00"/>
    <x v="1"/>
    <s v="South"/>
    <s v="Mobile"/>
    <s v="Organic"/>
    <s v="Free"/>
    <n v="0"/>
    <n v="0"/>
    <n v="0"/>
    <n v="0"/>
    <n v="0"/>
    <n v="0"/>
    <n v="0"/>
    <m/>
    <n v="47.2"/>
  </r>
  <r>
    <s v="USR-101198"/>
    <d v="2025-05-23T00:00:00"/>
    <x v="1"/>
    <s v="South"/>
    <s v="Tablet"/>
    <s v="Paid Search"/>
    <s v="Free"/>
    <n v="1"/>
    <n v="0"/>
    <n v="0"/>
    <n v="0"/>
    <n v="0"/>
    <n v="1"/>
    <n v="0"/>
    <m/>
    <n v="55"/>
  </r>
  <r>
    <s v="USR-101199"/>
    <d v="2025-04-27T00:00:00"/>
    <x v="1"/>
    <s v="West"/>
    <s v="Mobile"/>
    <s v="Referral"/>
    <s v="Basic"/>
    <n v="1"/>
    <n v="1"/>
    <n v="1"/>
    <n v="0"/>
    <n v="0"/>
    <n v="0"/>
    <n v="0"/>
    <m/>
    <n v="76.400000000000006"/>
  </r>
  <r>
    <s v="USR-101200"/>
    <d v="2025-05-26T00:00:00"/>
    <x v="1"/>
    <s v="North"/>
    <s v="Mobile"/>
    <s v="Referral"/>
    <s v="Free"/>
    <n v="1"/>
    <n v="0"/>
    <n v="0"/>
    <n v="0"/>
    <n v="0"/>
    <n v="0"/>
    <n v="0"/>
    <m/>
    <n v="70.8"/>
  </r>
  <r>
    <s v="USR-101201"/>
    <d v="2025-03-06T00:00:00"/>
    <x v="1"/>
    <s v="East"/>
    <s v="Mobile"/>
    <s v="Paid Search"/>
    <s v="Basic"/>
    <n v="1"/>
    <n v="1"/>
    <n v="0"/>
    <n v="0"/>
    <n v="0"/>
    <n v="1"/>
    <n v="0"/>
    <m/>
    <n v="58"/>
  </r>
  <r>
    <s v="USR-101202"/>
    <d v="2025-04-03T00:00:00"/>
    <x v="1"/>
    <s v="West"/>
    <s v="Mobile"/>
    <s v="Organic"/>
    <s v="Basic"/>
    <n v="1"/>
    <n v="1"/>
    <n v="1"/>
    <n v="0"/>
    <n v="0"/>
    <n v="1"/>
    <n v="0"/>
    <m/>
    <n v="70.8"/>
  </r>
  <r>
    <s v="USR-101203"/>
    <d v="2025-02-01T00:00:00"/>
    <x v="1"/>
    <s v="East"/>
    <s v="Desktop"/>
    <s v="Paid Search"/>
    <s v="Free"/>
    <n v="1"/>
    <n v="0"/>
    <n v="0"/>
    <n v="0"/>
    <n v="0"/>
    <n v="3"/>
    <n v="0"/>
    <m/>
    <n v="60"/>
  </r>
  <r>
    <s v="USR-101204"/>
    <d v="2025-05-01T00:00:00"/>
    <x v="1"/>
    <s v="West"/>
    <s v="Mobile"/>
    <s v="Referral"/>
    <s v="Premium"/>
    <n v="1"/>
    <n v="1"/>
    <n v="1"/>
    <n v="0"/>
    <n v="0"/>
    <n v="3"/>
    <n v="0"/>
    <m/>
    <n v="58.1"/>
  </r>
  <r>
    <s v="USR-101205"/>
    <d v="2025-04-13T00:00:00"/>
    <x v="1"/>
    <s v="North"/>
    <s v="Mobile"/>
    <s v="Social"/>
    <s v="Premium"/>
    <n v="0"/>
    <n v="0"/>
    <n v="0"/>
    <n v="0"/>
    <n v="0"/>
    <n v="0"/>
    <n v="0"/>
    <m/>
    <n v="59.7"/>
  </r>
  <r>
    <s v="USR-101206"/>
    <d v="2025-01-25T00:00:00"/>
    <x v="1"/>
    <s v="East"/>
    <s v="Mobile"/>
    <s v="Social"/>
    <s v="Free"/>
    <n v="0"/>
    <n v="0"/>
    <n v="0"/>
    <n v="0"/>
    <n v="0"/>
    <n v="0"/>
    <n v="0"/>
    <m/>
    <n v="47.7"/>
  </r>
  <r>
    <s v="USR-101207"/>
    <d v="2025-03-17T00:00:00"/>
    <x v="1"/>
    <s v="North"/>
    <s v="Mobile"/>
    <s v="Organic"/>
    <s v="Free"/>
    <n v="0"/>
    <n v="0"/>
    <n v="0"/>
    <n v="0"/>
    <n v="0"/>
    <n v="0"/>
    <n v="0"/>
    <m/>
    <n v="59.1"/>
  </r>
  <r>
    <s v="USR-101208"/>
    <d v="2025-02-21T00:00:00"/>
    <x v="1"/>
    <s v="West"/>
    <s v="Desktop"/>
    <s v="Social"/>
    <s v="Basic"/>
    <n v="1"/>
    <n v="0"/>
    <n v="0"/>
    <n v="0"/>
    <n v="0"/>
    <n v="1"/>
    <n v="0"/>
    <m/>
    <n v="68.7"/>
  </r>
  <r>
    <s v="USR-101209"/>
    <d v="2025-04-08T00:00:00"/>
    <x v="1"/>
    <s v="East"/>
    <s v="Tablet"/>
    <s v="Organic"/>
    <s v="Basic"/>
    <n v="0"/>
    <n v="0"/>
    <n v="0"/>
    <n v="0"/>
    <n v="0"/>
    <n v="0"/>
    <n v="0"/>
    <m/>
    <n v="34.700000000000003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11"/>
    <d v="2025-05-29T00:00:00"/>
    <x v="1"/>
    <s v="South"/>
    <s v="Mobile"/>
    <s v="Organic"/>
    <s v="Free"/>
    <n v="1"/>
    <n v="1"/>
    <n v="0"/>
    <n v="0"/>
    <n v="0"/>
    <n v="0"/>
    <n v="0"/>
    <m/>
    <n v="56"/>
  </r>
  <r>
    <s v="USR-101212"/>
    <d v="2025-05-30T00:00:00"/>
    <x v="1"/>
    <s v="North"/>
    <s v="Mobile"/>
    <s v="Email"/>
    <s v="Basic"/>
    <n v="1"/>
    <n v="0"/>
    <n v="0"/>
    <n v="0"/>
    <n v="0"/>
    <n v="1"/>
    <n v="0"/>
    <m/>
    <n v="65.8"/>
  </r>
  <r>
    <s v="USR-101213"/>
    <d v="2025-01-24T00:00:00"/>
    <x v="1"/>
    <s v="North"/>
    <s v="Desktop"/>
    <s v="Organic"/>
    <s v="Premium"/>
    <n v="0"/>
    <n v="0"/>
    <n v="0"/>
    <n v="0"/>
    <n v="0"/>
    <n v="0"/>
    <n v="0"/>
    <m/>
    <n v="54.7"/>
  </r>
  <r>
    <s v="USR-101214"/>
    <d v="2025-05-12T00:00:00"/>
    <x v="1"/>
    <s v="South"/>
    <s v="Mobile"/>
    <s v="Organic"/>
    <s v="Basic"/>
    <n v="1"/>
    <n v="1"/>
    <n v="0"/>
    <n v="0"/>
    <n v="0"/>
    <n v="0"/>
    <n v="0"/>
    <m/>
    <n v="64.099999999999994"/>
  </r>
  <r>
    <s v="USR-101215"/>
    <d v="2025-03-28T00:00:00"/>
    <x v="1"/>
    <s v="South"/>
    <s v="Mobile"/>
    <s v="Organic"/>
    <s v="Basic"/>
    <n v="1"/>
    <n v="1"/>
    <n v="1"/>
    <n v="0"/>
    <n v="0"/>
    <n v="0"/>
    <n v="0"/>
    <m/>
    <n v="71.599999999999994"/>
  </r>
  <r>
    <s v="USR-101216"/>
    <d v="2025-04-14T00:00:00"/>
    <x v="1"/>
    <s v="North"/>
    <s v="Mobile"/>
    <s v="Referral"/>
    <s v="Basic"/>
    <n v="1"/>
    <n v="0"/>
    <n v="0"/>
    <n v="0"/>
    <n v="0"/>
    <n v="0"/>
    <n v="0"/>
    <m/>
    <n v="78.400000000000006"/>
  </r>
  <r>
    <s v="USR-101217"/>
    <d v="2025-01-28T00:00:00"/>
    <x v="1"/>
    <s v="East"/>
    <s v="Tablet"/>
    <s v="Referral"/>
    <s v="Basic"/>
    <n v="0"/>
    <n v="0"/>
    <n v="0"/>
    <n v="0"/>
    <n v="0"/>
    <n v="0"/>
    <n v="0"/>
    <m/>
    <n v="49.3"/>
  </r>
  <r>
    <s v="USR-101218"/>
    <d v="2025-05-21T00:00:00"/>
    <x v="1"/>
    <s v="North"/>
    <s v="Mobile"/>
    <s v="Organic"/>
    <s v="Basic"/>
    <n v="0"/>
    <n v="0"/>
    <n v="0"/>
    <n v="0"/>
    <n v="0"/>
    <n v="0"/>
    <n v="0"/>
    <m/>
    <n v="52.8"/>
  </r>
  <r>
    <s v="USR-101219"/>
    <d v="2025-05-11T00:00:00"/>
    <x v="1"/>
    <s v="West"/>
    <s v="Desktop"/>
    <s v="Organic"/>
    <s v="Free"/>
    <n v="0"/>
    <n v="0"/>
    <n v="0"/>
    <n v="0"/>
    <n v="0"/>
    <n v="0"/>
    <n v="0"/>
    <m/>
    <n v="58.5"/>
  </r>
  <r>
    <s v="USR-101220"/>
    <d v="2025-02-02T00:00:00"/>
    <x v="1"/>
    <s v="South"/>
    <s v="Mobile"/>
    <s v="Paid Search"/>
    <s v="Free"/>
    <n v="1"/>
    <n v="0"/>
    <n v="0"/>
    <n v="0"/>
    <n v="0"/>
    <n v="0"/>
    <n v="0"/>
    <m/>
    <n v="55.9"/>
  </r>
  <r>
    <s v="USR-101221"/>
    <d v="2025-02-26T00:00:00"/>
    <x v="1"/>
    <s v="North"/>
    <s v="Mobile"/>
    <s v="Social"/>
    <s v="Free"/>
    <n v="1"/>
    <n v="1"/>
    <n v="1"/>
    <n v="1"/>
    <n v="351.43"/>
    <n v="1"/>
    <n v="0"/>
    <n v="6"/>
    <n v="74.900000000000006"/>
  </r>
  <r>
    <s v="USR-101222"/>
    <d v="2025-02-27T00:00:00"/>
    <x v="1"/>
    <s v="South"/>
    <s v="Desktop"/>
    <s v="Referral"/>
    <s v="Free"/>
    <n v="1"/>
    <n v="1"/>
    <n v="1"/>
    <n v="1"/>
    <n v="352.42"/>
    <n v="0"/>
    <n v="0"/>
    <n v="4"/>
    <n v="58.5"/>
  </r>
  <r>
    <s v="USR-101223"/>
    <d v="2025-03-09T00:00:00"/>
    <x v="1"/>
    <s v="West"/>
    <s v="Mobile"/>
    <s v="Organic"/>
    <s v="Free"/>
    <n v="0"/>
    <n v="0"/>
    <n v="0"/>
    <n v="0"/>
    <n v="0"/>
    <n v="0"/>
    <n v="0"/>
    <m/>
    <n v="63.5"/>
  </r>
  <r>
    <s v="USR-101224"/>
    <d v="2025-02-07T00:00:00"/>
    <x v="1"/>
    <s v="North"/>
    <s v="Mobile"/>
    <s v="Paid Search"/>
    <s v="Basic"/>
    <n v="1"/>
    <n v="0"/>
    <n v="0"/>
    <n v="0"/>
    <n v="0"/>
    <n v="1"/>
    <n v="0"/>
    <m/>
    <n v="64.8"/>
  </r>
  <r>
    <s v="USR-101225"/>
    <d v="2025-01-31T00:00:00"/>
    <x v="1"/>
    <s v="West"/>
    <s v="Mobile"/>
    <s v="Social"/>
    <s v="Free"/>
    <n v="0"/>
    <n v="0"/>
    <n v="0"/>
    <n v="0"/>
    <n v="0"/>
    <n v="0"/>
    <n v="0"/>
    <m/>
    <n v="63.3"/>
  </r>
  <r>
    <s v="USR-101226"/>
    <d v="2025-02-14T00:00:00"/>
    <x v="1"/>
    <s v="North"/>
    <s v="Tablet"/>
    <s v="Paid Search"/>
    <s v="Basic"/>
    <n v="1"/>
    <n v="1"/>
    <n v="1"/>
    <n v="1"/>
    <n v="1074.1600000000001"/>
    <n v="0"/>
    <n v="0"/>
    <n v="8"/>
    <n v="83.7"/>
  </r>
  <r>
    <s v="USR-101227"/>
    <d v="2025-02-12T00:00:00"/>
    <x v="1"/>
    <s v="South"/>
    <s v="Desktop"/>
    <s v="Social"/>
    <s v="Basic"/>
    <n v="0"/>
    <n v="0"/>
    <n v="0"/>
    <n v="0"/>
    <n v="0"/>
    <n v="0"/>
    <n v="0"/>
    <m/>
    <n v="88.7"/>
  </r>
  <r>
    <s v="USR-101228"/>
    <d v="2025-03-23T00:00:00"/>
    <x v="1"/>
    <s v="East"/>
    <m/>
    <s v="Paid Search"/>
    <s v="Free"/>
    <n v="1"/>
    <n v="0"/>
    <n v="0"/>
    <n v="0"/>
    <n v="0"/>
    <n v="1"/>
    <n v="0"/>
    <m/>
    <n v="61.5"/>
  </r>
  <r>
    <s v="USR-101229"/>
    <d v="2025-03-18T00:00:00"/>
    <x v="1"/>
    <s v="West"/>
    <s v="Mobile"/>
    <s v="Paid Search"/>
    <s v="Free"/>
    <n v="0"/>
    <n v="0"/>
    <n v="0"/>
    <n v="0"/>
    <n v="0"/>
    <n v="0"/>
    <n v="0"/>
    <m/>
    <n v="45.3"/>
  </r>
  <r>
    <s v="USR-101230"/>
    <d v="2025-05-17T00:00:00"/>
    <x v="1"/>
    <s v="North"/>
    <s v="Mobile"/>
    <s v="Social"/>
    <s v="Free"/>
    <n v="1"/>
    <n v="0"/>
    <n v="0"/>
    <n v="0"/>
    <n v="0"/>
    <n v="0"/>
    <n v="0"/>
    <m/>
    <n v="37.299999999999997"/>
  </r>
  <r>
    <s v="USR-101231"/>
    <d v="2025-03-26T00:00:00"/>
    <x v="1"/>
    <s v="West"/>
    <s v="Desktop"/>
    <s v="Social"/>
    <s v="Premium"/>
    <n v="1"/>
    <n v="0"/>
    <n v="0"/>
    <n v="0"/>
    <n v="0"/>
    <n v="1"/>
    <n v="0"/>
    <m/>
    <n v="76.099999999999994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233"/>
    <d v="2025-02-25T00:00:00"/>
    <x v="1"/>
    <s v="East"/>
    <s v="Desktop"/>
    <s v="Organic"/>
    <s v="Free"/>
    <n v="1"/>
    <n v="0"/>
    <n v="0"/>
    <n v="0"/>
    <n v="0"/>
    <n v="0"/>
    <n v="0"/>
    <m/>
    <n v="62.3"/>
  </r>
  <r>
    <s v="USR-101234"/>
    <d v="2025-03-01T00:00:00"/>
    <x v="1"/>
    <s v="East"/>
    <s v="Desktop"/>
    <s v="Social"/>
    <s v="Free"/>
    <n v="0"/>
    <n v="0"/>
    <n v="0"/>
    <n v="0"/>
    <n v="0"/>
    <n v="0"/>
    <n v="0"/>
    <m/>
    <n v="62.7"/>
  </r>
  <r>
    <s v="USR-101235"/>
    <d v="2025-05-27T00:00:00"/>
    <x v="1"/>
    <s v="North"/>
    <s v="Mobile"/>
    <s v="Paid Search"/>
    <s v="Basic"/>
    <n v="0"/>
    <n v="0"/>
    <n v="0"/>
    <n v="0"/>
    <n v="0"/>
    <n v="0"/>
    <n v="0"/>
    <m/>
    <n v="82.4"/>
  </r>
  <r>
    <s v="USR-101236"/>
    <d v="2025-02-05T00:00:00"/>
    <x v="1"/>
    <s v="West"/>
    <s v="Mobile"/>
    <m/>
    <s v="Premium"/>
    <n v="1"/>
    <n v="0"/>
    <n v="0"/>
    <n v="0"/>
    <n v="0"/>
    <n v="0"/>
    <n v="0"/>
    <m/>
    <n v="78.900000000000006"/>
  </r>
  <r>
    <s v="USR-101237"/>
    <d v="2025-01-25T00:00:00"/>
    <x v="1"/>
    <s v="West"/>
    <s v="Desktop"/>
    <s v="Email"/>
    <s v="Free"/>
    <n v="1"/>
    <n v="1"/>
    <n v="1"/>
    <n v="1"/>
    <n v="618.91"/>
    <n v="0"/>
    <n v="0"/>
    <n v="4"/>
    <n v="67.8"/>
  </r>
  <r>
    <s v="USR-101238"/>
    <d v="2025-04-10T00:00:00"/>
    <x v="1"/>
    <s v="East"/>
    <s v="Mobile"/>
    <s v="Organic"/>
    <s v="Premium"/>
    <n v="1"/>
    <n v="0"/>
    <n v="0"/>
    <n v="0"/>
    <n v="0"/>
    <n v="0"/>
    <n v="0"/>
    <m/>
    <n v="68.8"/>
  </r>
  <r>
    <s v="USR-101239"/>
    <d v="2025-01-10T00:00:00"/>
    <x v="1"/>
    <s v="East"/>
    <s v="Mobile"/>
    <s v="Organic"/>
    <s v="Premium"/>
    <n v="1"/>
    <n v="0"/>
    <n v="0"/>
    <n v="0"/>
    <n v="0"/>
    <n v="0"/>
    <n v="0"/>
    <m/>
    <n v="67.7"/>
  </r>
  <r>
    <s v="USR-101240"/>
    <d v="2025-02-23T00:00:00"/>
    <x v="1"/>
    <s v="East"/>
    <s v="Mobile"/>
    <m/>
    <s v="Free"/>
    <n v="0"/>
    <n v="0"/>
    <n v="0"/>
    <n v="0"/>
    <n v="0"/>
    <n v="0"/>
    <n v="0"/>
    <m/>
    <n v="88"/>
  </r>
  <r>
    <s v="USR-101241"/>
    <d v="2025-05-23T00:00:00"/>
    <x v="1"/>
    <s v="West"/>
    <s v="Desktop"/>
    <s v="Organic"/>
    <s v="Basic"/>
    <n v="1"/>
    <n v="1"/>
    <n v="0"/>
    <n v="0"/>
    <n v="0"/>
    <n v="0"/>
    <n v="0"/>
    <m/>
    <n v="80.099999999999994"/>
  </r>
  <r>
    <s v="USR-101242"/>
    <d v="2025-03-08T00:00:00"/>
    <x v="1"/>
    <s v="North"/>
    <s v="Tablet"/>
    <s v="Email"/>
    <s v="Basic"/>
    <n v="0"/>
    <n v="0"/>
    <n v="0"/>
    <n v="0"/>
    <n v="0"/>
    <n v="1"/>
    <n v="0"/>
    <m/>
    <n v="48.2"/>
  </r>
  <r>
    <s v="USR-101243"/>
    <d v="2025-05-21T00:00:00"/>
    <x v="1"/>
    <s v="East"/>
    <s v="Mobile"/>
    <s v="Organic"/>
    <s v="Basic"/>
    <n v="1"/>
    <n v="0"/>
    <n v="0"/>
    <n v="0"/>
    <n v="0"/>
    <n v="0"/>
    <n v="0"/>
    <m/>
    <n v="52.7"/>
  </r>
  <r>
    <s v="USR-101244"/>
    <d v="2025-04-22T00:00:00"/>
    <x v="1"/>
    <s v="North"/>
    <s v="Mobile"/>
    <s v="Email"/>
    <s v="Basic"/>
    <n v="1"/>
    <n v="1"/>
    <n v="0"/>
    <n v="0"/>
    <n v="0"/>
    <n v="0"/>
    <n v="0"/>
    <m/>
    <n v="59.9"/>
  </r>
  <r>
    <s v="USR-101245"/>
    <d v="2025-04-16T00:00:00"/>
    <x v="1"/>
    <s v="North"/>
    <s v="Mobile"/>
    <s v="Email"/>
    <s v="Premium"/>
    <n v="1"/>
    <n v="0"/>
    <n v="0"/>
    <n v="0"/>
    <n v="0"/>
    <n v="0"/>
    <n v="0"/>
    <m/>
    <n v="49.5"/>
  </r>
  <r>
    <s v="USR-101246"/>
    <d v="2025-05-08T00:00:00"/>
    <x v="1"/>
    <s v="North"/>
    <s v="Tablet"/>
    <s v="Organic"/>
    <s v="Free"/>
    <n v="1"/>
    <n v="0"/>
    <n v="0"/>
    <n v="0"/>
    <n v="0"/>
    <n v="0"/>
    <n v="0"/>
    <m/>
    <n v="41.5"/>
  </r>
  <r>
    <s v="USR-101247"/>
    <d v="2025-05-22T00:00:00"/>
    <x v="1"/>
    <s v="North"/>
    <s v="Mobile"/>
    <s v="Paid Search"/>
    <s v="Basic"/>
    <n v="1"/>
    <n v="0"/>
    <n v="0"/>
    <n v="0"/>
    <n v="0"/>
    <n v="0"/>
    <n v="0"/>
    <m/>
    <n v="71.2"/>
  </r>
  <r>
    <s v="USR-101248"/>
    <d v="2025-03-21T00:00:00"/>
    <x v="1"/>
    <s v="North"/>
    <s v="Mobile"/>
    <s v="Referral"/>
    <s v="Basic"/>
    <n v="1"/>
    <n v="1"/>
    <n v="1"/>
    <n v="0"/>
    <n v="0"/>
    <n v="0"/>
    <n v="0"/>
    <m/>
    <n v="65.8"/>
  </r>
  <r>
    <s v="USR-101249"/>
    <d v="2025-03-22T00:00:00"/>
    <x v="1"/>
    <s v="East"/>
    <s v="Mobile"/>
    <s v="Organic"/>
    <s v="Basic"/>
    <n v="1"/>
    <n v="0"/>
    <n v="0"/>
    <n v="0"/>
    <n v="0"/>
    <n v="1"/>
    <n v="0"/>
    <m/>
    <n v="55.1"/>
  </r>
  <r>
    <s v="USR-101250"/>
    <d v="2025-01-10T00:00:00"/>
    <x v="1"/>
    <s v="West"/>
    <s v="Desktop"/>
    <s v="Social"/>
    <s v="Free"/>
    <n v="1"/>
    <n v="0"/>
    <n v="0"/>
    <n v="0"/>
    <n v="0"/>
    <n v="0"/>
    <n v="0"/>
    <m/>
    <n v="54.6"/>
  </r>
  <r>
    <s v="USR-101251"/>
    <d v="2025-02-01T00:00:00"/>
    <x v="1"/>
    <s v="East"/>
    <s v="Mobile"/>
    <s v="Organic"/>
    <s v="Basic"/>
    <n v="1"/>
    <n v="1"/>
    <n v="1"/>
    <n v="1"/>
    <n v="923.67"/>
    <n v="0"/>
    <n v="0"/>
    <n v="4"/>
    <n v="81.900000000000006"/>
  </r>
  <r>
    <s v="USR-101252"/>
    <d v="2025-03-31T00:00:00"/>
    <x v="1"/>
    <s v="South"/>
    <s v="Mobile"/>
    <s v="Paid Search"/>
    <s v="Basic"/>
    <n v="1"/>
    <n v="1"/>
    <n v="0"/>
    <n v="0"/>
    <n v="0"/>
    <n v="3"/>
    <n v="0"/>
    <m/>
    <n v="63.2"/>
  </r>
  <r>
    <s v="USR-101253"/>
    <d v="2025-04-25T00:00:00"/>
    <x v="1"/>
    <s v="North"/>
    <s v="Mobile"/>
    <s v="Paid Search"/>
    <s v="Free"/>
    <n v="1"/>
    <n v="0"/>
    <n v="0"/>
    <n v="0"/>
    <n v="0"/>
    <n v="0"/>
    <n v="0"/>
    <m/>
    <n v="55.4"/>
  </r>
  <r>
    <s v="USR-101254"/>
    <d v="2025-05-02T00:00:00"/>
    <x v="1"/>
    <s v="West"/>
    <s v="Mobile"/>
    <s v="Social"/>
    <s v="Basic"/>
    <n v="0"/>
    <n v="0"/>
    <n v="0"/>
    <n v="0"/>
    <n v="0"/>
    <n v="0"/>
    <n v="0"/>
    <m/>
    <n v="87.5"/>
  </r>
  <r>
    <s v="USR-101255"/>
    <d v="2025-03-08T00:00:00"/>
    <x v="1"/>
    <s v="South"/>
    <s v="Desktop"/>
    <s v="Social"/>
    <s v="Basic"/>
    <n v="1"/>
    <n v="0"/>
    <n v="0"/>
    <n v="0"/>
    <n v="0"/>
    <n v="0"/>
    <n v="0"/>
    <m/>
    <n v="48.5"/>
  </r>
  <r>
    <s v="USR-101256"/>
    <d v="2025-01-27T00:00:00"/>
    <x v="1"/>
    <s v="East"/>
    <s v="Desktop"/>
    <m/>
    <s v="Free"/>
    <n v="1"/>
    <n v="1"/>
    <n v="1"/>
    <n v="1"/>
    <n v="420.27"/>
    <n v="0"/>
    <n v="0"/>
    <n v="6"/>
    <n v="58.4"/>
  </r>
  <r>
    <s v="USR-101257"/>
    <d v="2025-04-27T00:00:00"/>
    <x v="1"/>
    <s v="West"/>
    <s v="Mobile"/>
    <s v="Paid Search"/>
    <s v="Free"/>
    <n v="0"/>
    <n v="0"/>
    <n v="0"/>
    <n v="0"/>
    <n v="0"/>
    <n v="0"/>
    <n v="0"/>
    <m/>
    <n v="59.5"/>
  </r>
  <r>
    <s v="USR-101258"/>
    <d v="2025-01-16T00:00:00"/>
    <x v="1"/>
    <s v="West"/>
    <s v="Desktop"/>
    <s v="Paid Search"/>
    <s v="Basic"/>
    <n v="1"/>
    <n v="0"/>
    <n v="0"/>
    <n v="0"/>
    <n v="0"/>
    <n v="0"/>
    <n v="0"/>
    <m/>
    <n v="93.2"/>
  </r>
  <r>
    <s v="USR-101259"/>
    <d v="2025-01-18T00:00:00"/>
    <x v="1"/>
    <s v="West"/>
    <s v="Desktop"/>
    <s v="Paid Search"/>
    <s v="Basic"/>
    <n v="1"/>
    <n v="0"/>
    <n v="0"/>
    <n v="0"/>
    <n v="0"/>
    <n v="0"/>
    <n v="0"/>
    <m/>
    <n v="59"/>
  </r>
  <r>
    <s v="USR-101260"/>
    <d v="2025-03-21T00:00:00"/>
    <x v="1"/>
    <s v="North"/>
    <s v="Mobile"/>
    <s v="Organic"/>
    <s v="Free"/>
    <n v="1"/>
    <n v="0"/>
    <n v="0"/>
    <n v="0"/>
    <n v="0"/>
    <n v="0"/>
    <n v="0"/>
    <m/>
    <n v="37"/>
  </r>
  <r>
    <s v="USR-101261"/>
    <d v="2025-04-02T00:00:00"/>
    <x v="1"/>
    <s v="North"/>
    <s v="Desktop"/>
    <s v="Paid Search"/>
    <s v="Free"/>
    <n v="1"/>
    <n v="0"/>
    <n v="0"/>
    <n v="0"/>
    <n v="0"/>
    <n v="0"/>
    <n v="0"/>
    <m/>
    <n v="47.5"/>
  </r>
  <r>
    <s v="USR-101262"/>
    <d v="2025-02-16T00:00:00"/>
    <x v="1"/>
    <s v="West"/>
    <s v="Desktop"/>
    <s v="Organic"/>
    <s v="Free"/>
    <n v="1"/>
    <n v="1"/>
    <n v="1"/>
    <n v="0"/>
    <n v="0"/>
    <n v="0"/>
    <n v="0"/>
    <m/>
    <n v="78.7"/>
  </r>
  <r>
    <s v="USR-101263"/>
    <d v="2025-02-18T00:00:00"/>
    <x v="1"/>
    <s v="North"/>
    <s v="Mobile"/>
    <s v="Social"/>
    <s v="Free"/>
    <n v="1"/>
    <n v="0"/>
    <n v="0"/>
    <n v="0"/>
    <n v="0"/>
    <n v="0"/>
    <n v="0"/>
    <m/>
    <n v="49.6"/>
  </r>
  <r>
    <s v="USR-101264"/>
    <d v="2025-01-09T00:00:00"/>
    <x v="1"/>
    <s v="East"/>
    <s v="Mobile"/>
    <s v="Organic"/>
    <s v="Free"/>
    <n v="1"/>
    <n v="0"/>
    <n v="0"/>
    <n v="0"/>
    <n v="0"/>
    <n v="0"/>
    <n v="0"/>
    <m/>
    <n v="58"/>
  </r>
  <r>
    <s v="USR-101265"/>
    <d v="2025-02-18T00:00:00"/>
    <x v="1"/>
    <s v="North"/>
    <s v="Desktop"/>
    <s v="Paid Search"/>
    <s v="Free"/>
    <n v="1"/>
    <n v="0"/>
    <n v="0"/>
    <n v="0"/>
    <n v="0"/>
    <n v="1"/>
    <n v="0"/>
    <m/>
    <n v="54.4"/>
  </r>
  <r>
    <s v="USR-101266"/>
    <d v="2025-01-10T00:00:00"/>
    <x v="1"/>
    <s v="East"/>
    <s v="Mobile"/>
    <s v="Referral"/>
    <s v="Free"/>
    <n v="0"/>
    <n v="0"/>
    <n v="0"/>
    <n v="0"/>
    <n v="0"/>
    <n v="0"/>
    <n v="0"/>
    <m/>
    <n v="33.700000000000003"/>
  </r>
  <r>
    <s v="USR-101267"/>
    <d v="2025-03-08T00:00:00"/>
    <x v="1"/>
    <s v="West"/>
    <s v="Mobile"/>
    <s v="Email"/>
    <s v="Free"/>
    <n v="1"/>
    <n v="0"/>
    <n v="0"/>
    <n v="0"/>
    <n v="0"/>
    <n v="0"/>
    <n v="0"/>
    <m/>
    <n v="72.7"/>
  </r>
  <r>
    <s v="USR-101268"/>
    <d v="2025-04-16T00:00:00"/>
    <x v="1"/>
    <s v="East"/>
    <s v="Desktop"/>
    <s v="Paid Search"/>
    <s v="Basic"/>
    <n v="0"/>
    <n v="0"/>
    <n v="0"/>
    <n v="0"/>
    <n v="0"/>
    <n v="0"/>
    <n v="0"/>
    <m/>
    <n v="64.7"/>
  </r>
  <r>
    <s v="USR-101269"/>
    <d v="2025-02-19T00:00:00"/>
    <x v="1"/>
    <s v="West"/>
    <s v="Desktop"/>
    <s v="Paid Search"/>
    <s v="Premium"/>
    <n v="0"/>
    <n v="0"/>
    <n v="0"/>
    <n v="0"/>
    <n v="0"/>
    <n v="1"/>
    <n v="0"/>
    <m/>
    <n v="48.6"/>
  </r>
  <r>
    <s v="USR-101270"/>
    <d v="2025-03-16T00:00:00"/>
    <x v="1"/>
    <s v="East"/>
    <s v="Desktop"/>
    <s v="Social"/>
    <s v="Free"/>
    <n v="1"/>
    <n v="1"/>
    <n v="0"/>
    <n v="0"/>
    <n v="0"/>
    <n v="0"/>
    <n v="0"/>
    <m/>
    <n v="66.2"/>
  </r>
  <r>
    <s v="USR-101271"/>
    <d v="2025-02-03T00:00:00"/>
    <x v="1"/>
    <s v="West"/>
    <m/>
    <s v="Referral"/>
    <s v="Basic"/>
    <n v="1"/>
    <n v="0"/>
    <n v="0"/>
    <n v="0"/>
    <n v="0"/>
    <n v="1"/>
    <n v="0"/>
    <m/>
    <n v="60.7"/>
  </r>
  <r>
    <s v="USR-101272"/>
    <d v="2025-03-12T00:00:00"/>
    <x v="1"/>
    <s v="West"/>
    <s v="Mobile"/>
    <s v="Paid Search"/>
    <s v="Basic"/>
    <n v="1"/>
    <n v="0"/>
    <n v="0"/>
    <n v="0"/>
    <n v="0"/>
    <n v="0"/>
    <n v="0"/>
    <m/>
    <n v="36.5"/>
  </r>
  <r>
    <s v="USR-101273"/>
    <d v="2025-05-09T00:00:00"/>
    <x v="1"/>
    <s v="West"/>
    <s v="Mobile"/>
    <s v="Social"/>
    <s v="Free"/>
    <n v="1"/>
    <n v="1"/>
    <n v="1"/>
    <n v="0"/>
    <n v="0"/>
    <n v="3"/>
    <n v="0"/>
    <m/>
    <n v="69.7"/>
  </r>
  <r>
    <s v="USR-101274"/>
    <d v="2025-01-19T00:00:00"/>
    <x v="1"/>
    <s v="South"/>
    <s v="Desktop"/>
    <s v="Social"/>
    <s v="Premium"/>
    <n v="1"/>
    <n v="0"/>
    <n v="0"/>
    <n v="0"/>
    <n v="0"/>
    <n v="0"/>
    <n v="0"/>
    <m/>
    <n v="81.8"/>
  </r>
  <r>
    <s v="USR-101275"/>
    <d v="2025-01-24T00:00:00"/>
    <x v="1"/>
    <s v="West"/>
    <s v="Mobile"/>
    <s v="Referral"/>
    <s v="Free"/>
    <n v="1"/>
    <n v="1"/>
    <n v="1"/>
    <n v="0"/>
    <n v="0"/>
    <n v="1"/>
    <n v="0"/>
    <m/>
    <n v="78.3"/>
  </r>
  <r>
    <s v="USR-101276"/>
    <d v="2025-03-03T00:00:00"/>
    <x v="1"/>
    <s v="East"/>
    <s v="Mobile"/>
    <s v="Referral"/>
    <s v="Free"/>
    <n v="1"/>
    <n v="1"/>
    <n v="0"/>
    <n v="0"/>
    <n v="0"/>
    <n v="0"/>
    <n v="0"/>
    <m/>
    <n v="79.400000000000006"/>
  </r>
  <r>
    <s v="USR-101277"/>
    <d v="2025-05-27T00:00:00"/>
    <x v="1"/>
    <s v="North"/>
    <s v="Desktop"/>
    <s v="Referral"/>
    <s v="Free"/>
    <n v="1"/>
    <n v="1"/>
    <n v="1"/>
    <n v="0"/>
    <n v="0"/>
    <n v="0"/>
    <n v="0"/>
    <m/>
    <n v="54.9"/>
  </r>
  <r>
    <s v="USR-101278"/>
    <d v="2025-04-23T00:00:00"/>
    <x v="1"/>
    <s v="West"/>
    <s v="Desktop"/>
    <s v="Organic"/>
    <s v="Basic"/>
    <n v="1"/>
    <n v="0"/>
    <n v="0"/>
    <n v="0"/>
    <n v="0"/>
    <n v="0"/>
    <n v="0"/>
    <m/>
    <n v="54.9"/>
  </r>
  <r>
    <s v="USR-101279"/>
    <d v="2025-02-10T00:00:00"/>
    <x v="1"/>
    <s v="East"/>
    <s v="Desktop"/>
    <s v="Social"/>
    <s v="Free"/>
    <n v="0"/>
    <n v="0"/>
    <n v="0"/>
    <n v="0"/>
    <n v="0"/>
    <n v="0"/>
    <n v="0"/>
    <m/>
    <n v="28.7"/>
  </r>
  <r>
    <s v="USR-101280"/>
    <d v="2025-02-11T00:00:00"/>
    <x v="1"/>
    <s v="North"/>
    <s v="Mobile"/>
    <s v="Organic"/>
    <s v="Free"/>
    <n v="0"/>
    <n v="0"/>
    <n v="0"/>
    <n v="0"/>
    <n v="0"/>
    <n v="0"/>
    <n v="0"/>
    <m/>
    <n v="68.8"/>
  </r>
  <r>
    <s v="USR-101281"/>
    <d v="2025-01-21T00:00:00"/>
    <x v="1"/>
    <s v="East"/>
    <s v="Desktop"/>
    <s v="Paid Search"/>
    <s v="Free"/>
    <n v="1"/>
    <n v="1"/>
    <n v="1"/>
    <n v="0"/>
    <n v="0"/>
    <n v="0"/>
    <n v="0"/>
    <m/>
    <n v="43.5"/>
  </r>
  <r>
    <s v="USR-101282"/>
    <d v="2025-02-02T00:00:00"/>
    <x v="1"/>
    <s v="West"/>
    <s v="Desktop"/>
    <s v="Social"/>
    <s v="Free"/>
    <n v="1"/>
    <n v="1"/>
    <n v="0"/>
    <n v="0"/>
    <n v="0"/>
    <n v="0"/>
    <n v="0"/>
    <m/>
    <n v="62.6"/>
  </r>
  <r>
    <s v="USR-101283"/>
    <d v="2025-02-02T00:00:00"/>
    <x v="1"/>
    <s v="West"/>
    <s v="Mobile"/>
    <s v="Organic"/>
    <s v="Free"/>
    <n v="0"/>
    <n v="0"/>
    <n v="0"/>
    <n v="0"/>
    <n v="0"/>
    <n v="1"/>
    <n v="0"/>
    <m/>
    <n v="54.1"/>
  </r>
  <r>
    <s v="USR-101284"/>
    <d v="2025-02-26T00:00:00"/>
    <x v="1"/>
    <s v="West"/>
    <s v="Tablet"/>
    <s v="Social"/>
    <s v="Free"/>
    <n v="1"/>
    <n v="1"/>
    <n v="1"/>
    <n v="0"/>
    <n v="0"/>
    <n v="0"/>
    <n v="0"/>
    <m/>
    <n v="80.099999999999994"/>
  </r>
  <r>
    <s v="USR-101285"/>
    <d v="2025-04-22T00:00:00"/>
    <x v="1"/>
    <s v="North"/>
    <s v="Mobile"/>
    <s v="Social"/>
    <s v="Premium"/>
    <n v="1"/>
    <n v="0"/>
    <n v="0"/>
    <n v="0"/>
    <n v="0"/>
    <n v="0"/>
    <n v="0"/>
    <m/>
    <n v="69.5"/>
  </r>
  <r>
    <s v="USR-101286"/>
    <d v="2025-03-11T00:00:00"/>
    <x v="1"/>
    <s v="North"/>
    <s v="Desktop"/>
    <s v="Organic"/>
    <s v="Basic"/>
    <n v="0"/>
    <n v="0"/>
    <n v="0"/>
    <n v="0"/>
    <n v="0"/>
    <n v="2"/>
    <n v="0"/>
    <m/>
    <n v="46.6"/>
  </r>
  <r>
    <s v="USR-101287"/>
    <d v="2025-05-08T00:00:00"/>
    <x v="1"/>
    <s v="South"/>
    <s v="Mobile"/>
    <s v="Organic"/>
    <s v="Premium"/>
    <n v="1"/>
    <n v="0"/>
    <n v="0"/>
    <n v="0"/>
    <n v="0"/>
    <n v="1"/>
    <n v="0"/>
    <m/>
    <n v="54.9"/>
  </r>
  <r>
    <s v="USR-101288"/>
    <d v="2025-03-10T00:00:00"/>
    <x v="1"/>
    <s v="East"/>
    <s v="Desktop"/>
    <s v="Organic"/>
    <s v="Free"/>
    <n v="0"/>
    <n v="0"/>
    <n v="0"/>
    <n v="0"/>
    <n v="0"/>
    <n v="0"/>
    <n v="0"/>
    <m/>
    <n v="100"/>
  </r>
  <r>
    <s v="USR-101289"/>
    <d v="2025-04-16T00:00:00"/>
    <x v="1"/>
    <s v="East"/>
    <s v="Desktop"/>
    <s v="Paid Search"/>
    <s v="Free"/>
    <n v="1"/>
    <n v="1"/>
    <n v="1"/>
    <n v="0"/>
    <n v="0"/>
    <n v="1"/>
    <n v="0"/>
    <m/>
    <n v="80.5"/>
  </r>
  <r>
    <s v="USR-101290"/>
    <d v="2025-03-01T00:00:00"/>
    <x v="1"/>
    <s v="West"/>
    <s v="Tablet"/>
    <s v="Organic"/>
    <s v="Basic"/>
    <n v="1"/>
    <n v="0"/>
    <n v="0"/>
    <n v="0"/>
    <n v="0"/>
    <n v="0"/>
    <n v="0"/>
    <m/>
    <n v="51.2"/>
  </r>
  <r>
    <s v="USR-101291"/>
    <d v="2025-01-18T00:00:00"/>
    <x v="1"/>
    <s v="South"/>
    <s v="Desktop"/>
    <s v="Organic"/>
    <s v="Premium"/>
    <n v="1"/>
    <n v="0"/>
    <n v="0"/>
    <n v="0"/>
    <n v="0"/>
    <n v="0"/>
    <n v="0"/>
    <m/>
    <n v="42.5"/>
  </r>
  <r>
    <s v="USR-101292"/>
    <d v="2025-03-30T00:00:00"/>
    <x v="1"/>
    <s v="North"/>
    <s v="Mobile"/>
    <s v="Paid Search"/>
    <s v="Free"/>
    <n v="0"/>
    <n v="0"/>
    <n v="0"/>
    <n v="0"/>
    <n v="0"/>
    <n v="0"/>
    <n v="0"/>
    <m/>
    <n v="72.5"/>
  </r>
  <r>
    <s v="USR-101293"/>
    <d v="2025-05-26T00:00:00"/>
    <x v="1"/>
    <s v="West"/>
    <s v="Mobile"/>
    <s v="Social"/>
    <s v="Premium"/>
    <n v="0"/>
    <n v="0"/>
    <n v="0"/>
    <n v="0"/>
    <n v="0"/>
    <n v="0"/>
    <n v="0"/>
    <m/>
    <n v="74.400000000000006"/>
  </r>
  <r>
    <s v="USR-101294"/>
    <d v="2025-03-19T00:00:00"/>
    <x v="1"/>
    <s v="East"/>
    <s v="Desktop"/>
    <s v="Social"/>
    <s v="Free"/>
    <n v="0"/>
    <n v="0"/>
    <n v="0"/>
    <n v="0"/>
    <n v="0"/>
    <n v="0"/>
    <n v="0"/>
    <m/>
    <n v="78.400000000000006"/>
  </r>
  <r>
    <s v="USR-101295"/>
    <d v="2025-03-28T00:00:00"/>
    <x v="1"/>
    <s v="North"/>
    <s v="Desktop"/>
    <s v="Referral"/>
    <s v="Free"/>
    <n v="1"/>
    <n v="0"/>
    <n v="0"/>
    <n v="0"/>
    <n v="0"/>
    <n v="0"/>
    <n v="0"/>
    <m/>
    <n v="71.5"/>
  </r>
  <r>
    <s v="USR-101296"/>
    <d v="2025-05-28T00:00:00"/>
    <x v="1"/>
    <s v="South"/>
    <s v="Desktop"/>
    <s v="Social"/>
    <s v="Free"/>
    <n v="1"/>
    <n v="0"/>
    <n v="0"/>
    <n v="0"/>
    <n v="0"/>
    <n v="0"/>
    <n v="0"/>
    <m/>
    <n v="66.7"/>
  </r>
  <r>
    <s v="USR-101297"/>
    <d v="2025-05-31T00:00:00"/>
    <x v="1"/>
    <s v="South"/>
    <s v="Desktop"/>
    <s v="Referral"/>
    <s v="Premium"/>
    <n v="1"/>
    <n v="1"/>
    <n v="1"/>
    <n v="1"/>
    <n v="1496.09"/>
    <n v="0"/>
    <n v="0"/>
    <n v="7"/>
    <n v="60.4"/>
  </r>
  <r>
    <s v="USR-101298"/>
    <d v="2025-05-10T00:00:00"/>
    <x v="1"/>
    <s v="North"/>
    <s v="Mobile"/>
    <s v="Referral"/>
    <s v="Free"/>
    <n v="0"/>
    <n v="0"/>
    <n v="0"/>
    <n v="0"/>
    <n v="0"/>
    <n v="1"/>
    <n v="0"/>
    <m/>
    <n v="72.900000000000006"/>
  </r>
  <r>
    <s v="USR-101299"/>
    <d v="2025-05-17T00:00:00"/>
    <x v="1"/>
    <s v="West"/>
    <s v="Mobile"/>
    <s v="Organic"/>
    <s v="Free"/>
    <n v="0"/>
    <n v="0"/>
    <n v="0"/>
    <n v="0"/>
    <n v="0"/>
    <n v="3"/>
    <n v="0"/>
    <m/>
    <m/>
  </r>
  <r>
    <s v="USR-101300"/>
    <d v="2025-01-18T00:00:00"/>
    <x v="1"/>
    <s v="South"/>
    <s v="Mobile"/>
    <s v="Organic"/>
    <s v="Premium"/>
    <n v="1"/>
    <n v="0"/>
    <n v="0"/>
    <n v="0"/>
    <n v="0"/>
    <n v="0"/>
    <n v="0"/>
    <m/>
    <n v="55.2"/>
  </r>
  <r>
    <s v="USR-101301"/>
    <d v="2025-05-04T00:00:00"/>
    <x v="1"/>
    <s v="West"/>
    <s v="Mobile"/>
    <s v="Social"/>
    <s v="Free"/>
    <n v="1"/>
    <n v="0"/>
    <n v="0"/>
    <n v="0"/>
    <n v="0"/>
    <n v="0"/>
    <n v="0"/>
    <m/>
    <n v="67.8"/>
  </r>
  <r>
    <s v="USR-101302"/>
    <d v="2025-03-25T00:00:00"/>
    <x v="1"/>
    <s v="North"/>
    <s v="Mobile"/>
    <s v="Organic"/>
    <s v="Free"/>
    <n v="1"/>
    <n v="0"/>
    <n v="0"/>
    <n v="0"/>
    <n v="0"/>
    <n v="2"/>
    <n v="0"/>
    <m/>
    <n v="70"/>
  </r>
  <r>
    <s v="USR-101303"/>
    <d v="2025-02-27T00:00:00"/>
    <x v="1"/>
    <s v="North"/>
    <s v="Mobile"/>
    <s v="Social"/>
    <s v="Basic"/>
    <n v="1"/>
    <n v="1"/>
    <n v="1"/>
    <n v="0"/>
    <n v="0"/>
    <n v="0"/>
    <n v="0"/>
    <m/>
    <n v="51.1"/>
  </r>
  <r>
    <s v="USR-101304"/>
    <d v="2025-01-14T00:00:00"/>
    <x v="1"/>
    <s v="West"/>
    <s v="Mobile"/>
    <s v="Paid Search"/>
    <s v="Basic"/>
    <n v="1"/>
    <n v="1"/>
    <n v="1"/>
    <n v="0"/>
    <n v="0"/>
    <n v="0"/>
    <n v="0"/>
    <m/>
    <n v="57"/>
  </r>
  <r>
    <s v="USR-101305"/>
    <d v="2025-04-11T00:00:00"/>
    <x v="1"/>
    <s v="East"/>
    <s v="Mobile"/>
    <s v="Social"/>
    <s v="Free"/>
    <n v="0"/>
    <n v="0"/>
    <n v="0"/>
    <n v="0"/>
    <n v="0"/>
    <n v="1"/>
    <n v="0"/>
    <m/>
    <n v="47.1"/>
  </r>
  <r>
    <s v="USR-101306"/>
    <d v="2025-03-26T00:00:00"/>
    <x v="1"/>
    <s v="East"/>
    <s v="Desktop"/>
    <s v="Social"/>
    <s v="Basic"/>
    <n v="0"/>
    <n v="0"/>
    <n v="0"/>
    <n v="0"/>
    <n v="0"/>
    <n v="0"/>
    <n v="0"/>
    <m/>
    <n v="30.7"/>
  </r>
  <r>
    <s v="USR-101307"/>
    <d v="2025-02-12T00:00:00"/>
    <x v="1"/>
    <s v="West"/>
    <s v="Desktop"/>
    <s v="Social"/>
    <s v="Free"/>
    <n v="1"/>
    <n v="0"/>
    <n v="0"/>
    <n v="0"/>
    <n v="0"/>
    <n v="0"/>
    <n v="0"/>
    <m/>
    <n v="57.3"/>
  </r>
  <r>
    <s v="USR-101308"/>
    <d v="2025-02-18T00:00:00"/>
    <x v="1"/>
    <s v="West"/>
    <s v="Tablet"/>
    <s v="Paid Search"/>
    <s v="Basic"/>
    <n v="1"/>
    <n v="0"/>
    <n v="0"/>
    <n v="0"/>
    <n v="0"/>
    <n v="0"/>
    <n v="0"/>
    <m/>
    <n v="70"/>
  </r>
  <r>
    <s v="USR-101309"/>
    <d v="2025-05-25T00:00:00"/>
    <x v="1"/>
    <s v="East"/>
    <s v="Desktop"/>
    <s v="Social"/>
    <s v="Free"/>
    <n v="1"/>
    <n v="1"/>
    <n v="1"/>
    <n v="0"/>
    <n v="0"/>
    <n v="0"/>
    <n v="0"/>
    <m/>
    <n v="59.7"/>
  </r>
  <r>
    <s v="USR-101310"/>
    <d v="2025-05-23T00:00:00"/>
    <x v="1"/>
    <s v="East"/>
    <s v="Desktop"/>
    <s v="Paid Search"/>
    <s v="Basic"/>
    <n v="1"/>
    <n v="0"/>
    <n v="0"/>
    <n v="0"/>
    <n v="0"/>
    <n v="0"/>
    <n v="0"/>
    <m/>
    <n v="68.8"/>
  </r>
  <r>
    <s v="USR-101311"/>
    <d v="2025-01-16T00:00:00"/>
    <x v="1"/>
    <s v="North"/>
    <s v="Desktop"/>
    <s v="Organic"/>
    <s v="Free"/>
    <n v="1"/>
    <n v="1"/>
    <n v="1"/>
    <n v="1"/>
    <n v="428.37"/>
    <n v="0"/>
    <n v="0"/>
    <n v="9"/>
    <n v="88.3"/>
  </r>
  <r>
    <s v="USR-101312"/>
    <d v="2025-01-19T00:00:00"/>
    <x v="1"/>
    <s v="West"/>
    <s v="Desktop"/>
    <s v="Email"/>
    <s v="Basic"/>
    <n v="0"/>
    <n v="0"/>
    <n v="0"/>
    <n v="0"/>
    <n v="0"/>
    <n v="0"/>
    <n v="0"/>
    <m/>
    <n v="83.4"/>
  </r>
  <r>
    <s v="USR-101313"/>
    <d v="2025-05-18T00:00:00"/>
    <x v="1"/>
    <s v="South"/>
    <s v="Mobile"/>
    <s v="Referral"/>
    <s v="Free"/>
    <n v="0"/>
    <n v="0"/>
    <n v="0"/>
    <n v="0"/>
    <n v="0"/>
    <n v="1"/>
    <n v="0"/>
    <m/>
    <n v="81.599999999999994"/>
  </r>
  <r>
    <s v="USR-101314"/>
    <d v="2025-01-23T00:00:00"/>
    <x v="1"/>
    <s v="East"/>
    <s v="Tablet"/>
    <s v="Social"/>
    <s v="Premium"/>
    <n v="1"/>
    <n v="0"/>
    <n v="0"/>
    <n v="0"/>
    <n v="0"/>
    <n v="0"/>
    <n v="0"/>
    <m/>
    <n v="91.6"/>
  </r>
  <r>
    <s v="USR-101315"/>
    <d v="2025-01-08T00:00:00"/>
    <x v="1"/>
    <s v="East"/>
    <s v="Tablet"/>
    <m/>
    <s v="Premium"/>
    <n v="1"/>
    <n v="1"/>
    <n v="1"/>
    <n v="0"/>
    <n v="0"/>
    <n v="1"/>
    <n v="0"/>
    <m/>
    <n v="61.5"/>
  </r>
  <r>
    <s v="USR-101316"/>
    <d v="2025-02-19T00:00:00"/>
    <x v="1"/>
    <s v="North"/>
    <s v="Mobile"/>
    <s v="Organic"/>
    <s v="Premium"/>
    <n v="0"/>
    <n v="0"/>
    <n v="0"/>
    <n v="0"/>
    <n v="0"/>
    <n v="0"/>
    <n v="0"/>
    <m/>
    <m/>
  </r>
  <r>
    <s v="USR-101317"/>
    <d v="2025-02-10T00:00:00"/>
    <x v="1"/>
    <s v="South"/>
    <s v="Mobile"/>
    <s v="Organic"/>
    <s v="Free"/>
    <n v="1"/>
    <n v="0"/>
    <n v="0"/>
    <n v="0"/>
    <n v="0"/>
    <n v="0"/>
    <n v="0"/>
    <m/>
    <n v="32.6"/>
  </r>
  <r>
    <s v="USR-101318"/>
    <d v="2025-04-13T00:00:00"/>
    <x v="1"/>
    <s v="South"/>
    <s v="Mobile"/>
    <s v="Paid Search"/>
    <s v="Free"/>
    <n v="1"/>
    <n v="0"/>
    <n v="0"/>
    <n v="0"/>
    <n v="0"/>
    <n v="0"/>
    <n v="0"/>
    <m/>
    <n v="73.900000000000006"/>
  </r>
  <r>
    <s v="USR-101319"/>
    <d v="2025-05-20T00:00:00"/>
    <x v="1"/>
    <s v="East"/>
    <s v="Mobile"/>
    <s v="Organic"/>
    <s v="Free"/>
    <n v="1"/>
    <n v="1"/>
    <n v="1"/>
    <n v="1"/>
    <n v="444.06"/>
    <n v="0"/>
    <n v="0"/>
    <n v="9"/>
    <n v="99.9"/>
  </r>
  <r>
    <s v="USR-101320"/>
    <d v="2025-05-13T00:00:00"/>
    <x v="1"/>
    <s v="South"/>
    <s v="Mobile"/>
    <s v="Paid Search"/>
    <s v="Basic"/>
    <n v="1"/>
    <n v="1"/>
    <n v="0"/>
    <n v="0"/>
    <n v="0"/>
    <n v="1"/>
    <n v="0"/>
    <m/>
    <n v="62.4"/>
  </r>
  <r>
    <s v="USR-101321"/>
    <d v="2025-05-28T00:00:00"/>
    <x v="1"/>
    <s v="South"/>
    <s v="Desktop"/>
    <s v="Paid Search"/>
    <s v="Basic"/>
    <n v="1"/>
    <n v="0"/>
    <n v="0"/>
    <n v="0"/>
    <n v="0"/>
    <n v="0"/>
    <n v="0"/>
    <m/>
    <n v="46.1"/>
  </r>
  <r>
    <s v="USR-101322"/>
    <d v="2025-03-19T00:00:00"/>
    <x v="1"/>
    <s v="West"/>
    <s v="Mobile"/>
    <s v="Organic"/>
    <s v="Free"/>
    <n v="1"/>
    <n v="1"/>
    <n v="1"/>
    <n v="1"/>
    <n v="2660.21"/>
    <n v="0"/>
    <n v="0"/>
    <n v="3"/>
    <n v="73.900000000000006"/>
  </r>
  <r>
    <s v="USR-101323"/>
    <d v="2025-02-03T00:00:00"/>
    <x v="1"/>
    <s v="North"/>
    <s v="Mobile"/>
    <s v="Email"/>
    <s v="Premium"/>
    <n v="0"/>
    <n v="0"/>
    <n v="0"/>
    <n v="0"/>
    <n v="0"/>
    <n v="0"/>
    <n v="0"/>
    <m/>
    <n v="90"/>
  </r>
  <r>
    <s v="USR-101324"/>
    <d v="2025-02-26T00:00:00"/>
    <x v="1"/>
    <s v="South"/>
    <s v="Mobile"/>
    <s v="Email"/>
    <s v="Basic"/>
    <n v="1"/>
    <n v="0"/>
    <n v="0"/>
    <n v="0"/>
    <n v="0"/>
    <n v="1"/>
    <n v="0"/>
    <m/>
    <n v="68.8"/>
  </r>
  <r>
    <s v="USR-101325"/>
    <d v="2025-01-26T00:00:00"/>
    <x v="1"/>
    <s v="West"/>
    <s v="Mobile"/>
    <s v="Paid Search"/>
    <s v="Free"/>
    <n v="1"/>
    <n v="0"/>
    <n v="0"/>
    <n v="0"/>
    <n v="0"/>
    <n v="0"/>
    <n v="0"/>
    <m/>
    <n v="66.599999999999994"/>
  </r>
  <r>
    <s v="USR-101326"/>
    <d v="2025-05-13T00:00:00"/>
    <x v="1"/>
    <s v="North"/>
    <s v="Mobile"/>
    <s v="Organic"/>
    <s v="Premium"/>
    <n v="1"/>
    <n v="0"/>
    <n v="0"/>
    <n v="0"/>
    <n v="0"/>
    <n v="0"/>
    <n v="0"/>
    <m/>
    <n v="49.7"/>
  </r>
  <r>
    <s v="USR-101327"/>
    <d v="2025-02-02T00:00:00"/>
    <x v="1"/>
    <s v="South"/>
    <s v="Mobile"/>
    <s v="Paid Search"/>
    <s v="Basic"/>
    <n v="0"/>
    <n v="0"/>
    <n v="0"/>
    <n v="0"/>
    <n v="0"/>
    <n v="0"/>
    <n v="0"/>
    <m/>
    <n v="67.900000000000006"/>
  </r>
  <r>
    <s v="USR-101328"/>
    <d v="2025-04-30T00:00:00"/>
    <x v="1"/>
    <s v="West"/>
    <s v="Mobile"/>
    <m/>
    <s v="Basic"/>
    <n v="0"/>
    <n v="0"/>
    <n v="0"/>
    <n v="0"/>
    <n v="0"/>
    <n v="0"/>
    <n v="0"/>
    <m/>
    <n v="66.900000000000006"/>
  </r>
  <r>
    <s v="USR-101329"/>
    <d v="2025-03-29T00:00:00"/>
    <x v="1"/>
    <s v="East"/>
    <s v="Mobile"/>
    <s v="Organic"/>
    <s v="Free"/>
    <n v="0"/>
    <n v="0"/>
    <n v="0"/>
    <n v="0"/>
    <n v="0"/>
    <n v="0"/>
    <n v="0"/>
    <m/>
    <n v="46.1"/>
  </r>
  <r>
    <s v="USR-101330"/>
    <d v="2025-04-09T00:00:00"/>
    <x v="1"/>
    <s v="West"/>
    <s v="Desktop"/>
    <s v="Referral"/>
    <s v="Premium"/>
    <n v="1"/>
    <n v="0"/>
    <n v="0"/>
    <n v="0"/>
    <n v="0"/>
    <n v="0"/>
    <n v="0"/>
    <m/>
    <n v="85.6"/>
  </r>
  <r>
    <s v="USR-101331"/>
    <d v="2025-01-22T00:00:00"/>
    <x v="1"/>
    <s v="South"/>
    <s v="Tablet"/>
    <s v="Organic"/>
    <s v="Free"/>
    <n v="0"/>
    <n v="0"/>
    <n v="0"/>
    <n v="0"/>
    <n v="0"/>
    <n v="0"/>
    <n v="0"/>
    <m/>
    <n v="39.6"/>
  </r>
  <r>
    <s v="USR-101332"/>
    <d v="2025-01-27T00:00:00"/>
    <x v="1"/>
    <s v="South"/>
    <s v="Mobile"/>
    <s v="Organic"/>
    <s v="Basic"/>
    <n v="1"/>
    <n v="0"/>
    <n v="0"/>
    <n v="0"/>
    <n v="0"/>
    <n v="0"/>
    <n v="0"/>
    <m/>
    <n v="52.5"/>
  </r>
  <r>
    <s v="USR-101333"/>
    <d v="2025-01-22T00:00:00"/>
    <x v="1"/>
    <s v="East"/>
    <s v="Mobile"/>
    <s v="Social"/>
    <s v="Premium"/>
    <n v="1"/>
    <n v="0"/>
    <n v="0"/>
    <n v="0"/>
    <n v="0"/>
    <n v="0"/>
    <n v="0"/>
    <m/>
    <n v="73.5"/>
  </r>
  <r>
    <s v="USR-101334"/>
    <d v="2025-01-06T00:00:00"/>
    <x v="1"/>
    <s v="West"/>
    <s v="Desktop"/>
    <s v="Paid Search"/>
    <s v="Free"/>
    <n v="0"/>
    <n v="0"/>
    <n v="0"/>
    <n v="0"/>
    <n v="0"/>
    <n v="0"/>
    <n v="0"/>
    <m/>
    <n v="62.5"/>
  </r>
  <r>
    <s v="USR-101335"/>
    <d v="2025-04-16T00:00:00"/>
    <x v="1"/>
    <s v="South"/>
    <m/>
    <s v="Organic"/>
    <s v="Free"/>
    <n v="1"/>
    <n v="0"/>
    <n v="0"/>
    <n v="0"/>
    <n v="0"/>
    <n v="0"/>
    <n v="0"/>
    <m/>
    <n v="76.900000000000006"/>
  </r>
  <r>
    <s v="USR-101336"/>
    <d v="2025-04-14T00:00:00"/>
    <x v="1"/>
    <s v="South"/>
    <s v="Mobile"/>
    <s v="Organic"/>
    <s v="Free"/>
    <n v="1"/>
    <n v="0"/>
    <n v="0"/>
    <n v="0"/>
    <n v="0"/>
    <n v="0"/>
    <n v="0"/>
    <m/>
    <n v="51.4"/>
  </r>
  <r>
    <s v="USR-101337"/>
    <d v="2025-02-22T00:00:00"/>
    <x v="1"/>
    <s v="West"/>
    <s v="Mobile"/>
    <s v="Paid Search"/>
    <s v="Basic"/>
    <n v="1"/>
    <n v="0"/>
    <n v="0"/>
    <n v="0"/>
    <n v="0"/>
    <n v="0"/>
    <n v="0"/>
    <m/>
    <n v="59.3"/>
  </r>
  <r>
    <s v="USR-101338"/>
    <d v="2025-03-09T00:00:00"/>
    <x v="1"/>
    <s v="North"/>
    <s v="Mobile"/>
    <s v="Organic"/>
    <s v="Basic"/>
    <n v="0"/>
    <n v="0"/>
    <n v="0"/>
    <n v="0"/>
    <n v="0"/>
    <n v="0"/>
    <n v="0"/>
    <m/>
    <n v="74.900000000000006"/>
  </r>
  <r>
    <s v="USR-101339"/>
    <d v="2025-04-20T00:00:00"/>
    <x v="1"/>
    <s v="West"/>
    <s v="Desktop"/>
    <s v="Organic"/>
    <s v="Free"/>
    <n v="1"/>
    <n v="0"/>
    <n v="0"/>
    <n v="0"/>
    <n v="0"/>
    <n v="0"/>
    <n v="0"/>
    <m/>
    <n v="67"/>
  </r>
  <r>
    <s v="USR-101340"/>
    <d v="2025-03-10T00:00:00"/>
    <x v="1"/>
    <s v="South"/>
    <s v="Mobile"/>
    <s v="Email"/>
    <s v="Free"/>
    <n v="0"/>
    <n v="0"/>
    <n v="0"/>
    <n v="0"/>
    <n v="0"/>
    <n v="0"/>
    <n v="0"/>
    <m/>
    <n v="63.6"/>
  </r>
  <r>
    <s v="USR-101341"/>
    <d v="2025-02-21T00:00:00"/>
    <x v="1"/>
    <s v="South"/>
    <s v="Mobile"/>
    <s v="Email"/>
    <s v="Free"/>
    <n v="1"/>
    <n v="1"/>
    <n v="0"/>
    <n v="0"/>
    <n v="0"/>
    <n v="1"/>
    <n v="0"/>
    <m/>
    <n v="58.4"/>
  </r>
  <r>
    <s v="USR-101342"/>
    <d v="2025-01-06T00:00:00"/>
    <x v="1"/>
    <s v="North"/>
    <s v="Desktop"/>
    <s v="Social"/>
    <s v="Free"/>
    <n v="1"/>
    <n v="0"/>
    <n v="0"/>
    <n v="0"/>
    <n v="0"/>
    <n v="0"/>
    <n v="0"/>
    <m/>
    <n v="36.799999999999997"/>
  </r>
  <r>
    <s v="USR-101343"/>
    <d v="2025-04-17T00:00:00"/>
    <x v="1"/>
    <s v="South"/>
    <s v="Mobile"/>
    <s v="Organic"/>
    <s v="Premium"/>
    <n v="1"/>
    <n v="0"/>
    <n v="0"/>
    <n v="0"/>
    <n v="0"/>
    <n v="0"/>
    <n v="0"/>
    <m/>
    <n v="71.599999999999994"/>
  </r>
  <r>
    <s v="USR-101344"/>
    <d v="2025-05-23T00:00:00"/>
    <x v="1"/>
    <s v="South"/>
    <s v="Mobile"/>
    <s v="Email"/>
    <s v="Basic"/>
    <n v="1"/>
    <n v="1"/>
    <n v="0"/>
    <n v="0"/>
    <n v="0"/>
    <n v="1"/>
    <n v="0"/>
    <m/>
    <n v="79.7"/>
  </r>
  <r>
    <s v="USR-101345"/>
    <d v="2025-03-14T00:00:00"/>
    <x v="1"/>
    <s v="West"/>
    <s v="Desktop"/>
    <s v="Organic"/>
    <s v="Basic"/>
    <n v="1"/>
    <n v="0"/>
    <n v="0"/>
    <n v="0"/>
    <n v="0"/>
    <n v="1"/>
    <n v="0"/>
    <m/>
    <n v="56.5"/>
  </r>
  <r>
    <s v="USR-101346"/>
    <d v="2025-04-21T00:00:00"/>
    <x v="1"/>
    <s v="North"/>
    <s v="Mobile"/>
    <s v="Social"/>
    <s v="Premium"/>
    <n v="1"/>
    <n v="0"/>
    <n v="0"/>
    <n v="0"/>
    <n v="0"/>
    <n v="0"/>
    <n v="0"/>
    <m/>
    <n v="44.7"/>
  </r>
  <r>
    <s v="USR-101347"/>
    <d v="2025-01-03T00:00:00"/>
    <x v="1"/>
    <s v="South"/>
    <s v="Mobile"/>
    <s v="Social"/>
    <s v="Free"/>
    <n v="1"/>
    <n v="1"/>
    <n v="1"/>
    <n v="0"/>
    <n v="0"/>
    <n v="1"/>
    <n v="0"/>
    <m/>
    <n v="66"/>
  </r>
  <r>
    <s v="USR-101348"/>
    <d v="2025-05-09T00:00:00"/>
    <x v="1"/>
    <s v="North"/>
    <s v="Desktop"/>
    <s v="Organic"/>
    <s v="Basic"/>
    <n v="1"/>
    <n v="0"/>
    <n v="0"/>
    <n v="0"/>
    <n v="0"/>
    <n v="0"/>
    <n v="0"/>
    <m/>
    <n v="73"/>
  </r>
  <r>
    <s v="USR-101349"/>
    <d v="2025-05-22T00:00:00"/>
    <x v="1"/>
    <s v="South"/>
    <s v="Mobile"/>
    <s v="Organic"/>
    <s v="Basic"/>
    <n v="1"/>
    <n v="1"/>
    <n v="1"/>
    <n v="0"/>
    <n v="0"/>
    <n v="1"/>
    <n v="0"/>
    <m/>
    <n v="72.5"/>
  </r>
  <r>
    <s v="USR-101350"/>
    <d v="2025-05-07T00:00:00"/>
    <x v="1"/>
    <s v="South"/>
    <s v="Desktop"/>
    <s v="Paid Search"/>
    <s v="Free"/>
    <n v="1"/>
    <n v="1"/>
    <n v="1"/>
    <n v="1"/>
    <n v="323.60000000000002"/>
    <n v="0"/>
    <n v="0"/>
    <n v="6"/>
    <n v="100"/>
  </r>
  <r>
    <s v="USR-101351"/>
    <d v="2025-02-08T00:00:00"/>
    <x v="1"/>
    <s v="East"/>
    <s v="Mobile"/>
    <s v="Social"/>
    <s v="Free"/>
    <n v="0"/>
    <n v="0"/>
    <n v="0"/>
    <n v="0"/>
    <n v="0"/>
    <n v="1"/>
    <n v="0"/>
    <m/>
    <n v="90.5"/>
  </r>
  <r>
    <s v="USR-101352"/>
    <d v="2025-04-03T00:00:00"/>
    <x v="1"/>
    <s v="North"/>
    <s v="Tablet"/>
    <s v="Social"/>
    <s v="Basic"/>
    <n v="1"/>
    <n v="0"/>
    <n v="0"/>
    <n v="0"/>
    <n v="0"/>
    <n v="0"/>
    <n v="0"/>
    <m/>
    <n v="70.2"/>
  </r>
  <r>
    <s v="USR-101353"/>
    <d v="2025-04-17T00:00:00"/>
    <x v="1"/>
    <s v="East"/>
    <s v="Desktop"/>
    <s v="Paid Search"/>
    <s v="Free"/>
    <n v="1"/>
    <n v="0"/>
    <n v="0"/>
    <n v="0"/>
    <n v="0"/>
    <n v="1"/>
    <n v="0"/>
    <m/>
    <n v="67.099999999999994"/>
  </r>
  <r>
    <s v="USR-101354"/>
    <d v="2025-05-04T00:00:00"/>
    <x v="1"/>
    <s v="East"/>
    <s v="Mobile"/>
    <s v="Organic"/>
    <s v="Free"/>
    <n v="0"/>
    <n v="0"/>
    <n v="0"/>
    <n v="0"/>
    <n v="0"/>
    <n v="0"/>
    <n v="0"/>
    <m/>
    <n v="54.5"/>
  </r>
  <r>
    <s v="USR-101355"/>
    <d v="2025-05-11T00:00:00"/>
    <x v="1"/>
    <s v="West"/>
    <s v="Desktop"/>
    <s v="Organic"/>
    <s v="Free"/>
    <n v="1"/>
    <n v="0"/>
    <n v="0"/>
    <n v="0"/>
    <n v="0"/>
    <n v="0"/>
    <n v="0"/>
    <m/>
    <n v="63.4"/>
  </r>
  <r>
    <s v="USR-101356"/>
    <d v="2025-03-01T00:00:00"/>
    <x v="1"/>
    <s v="North"/>
    <s v="Desktop"/>
    <m/>
    <s v="Free"/>
    <n v="1"/>
    <n v="1"/>
    <n v="1"/>
    <n v="0"/>
    <n v="0"/>
    <n v="0"/>
    <n v="0"/>
    <m/>
    <n v="84.3"/>
  </r>
  <r>
    <s v="USR-101357"/>
    <d v="2025-02-20T00:00:00"/>
    <x v="1"/>
    <s v="West"/>
    <s v="Desktop"/>
    <s v="Organic"/>
    <s v="Free"/>
    <n v="1"/>
    <n v="0"/>
    <n v="0"/>
    <n v="0"/>
    <n v="0"/>
    <n v="1"/>
    <n v="0"/>
    <m/>
    <n v="55"/>
  </r>
  <r>
    <s v="USR-101358"/>
    <d v="2025-05-09T00:00:00"/>
    <x v="1"/>
    <s v="West"/>
    <s v="Mobile"/>
    <s v="Social"/>
    <s v="Free"/>
    <n v="1"/>
    <n v="0"/>
    <n v="0"/>
    <n v="0"/>
    <n v="0"/>
    <n v="0"/>
    <n v="0"/>
    <m/>
    <n v="63.6"/>
  </r>
  <r>
    <s v="USR-101359"/>
    <d v="2025-04-30T00:00:00"/>
    <x v="1"/>
    <s v="West"/>
    <s v="Mobile"/>
    <s v="Organic"/>
    <s v="Free"/>
    <n v="1"/>
    <n v="0"/>
    <n v="0"/>
    <n v="0"/>
    <n v="0"/>
    <n v="0"/>
    <n v="0"/>
    <m/>
    <n v="55.5"/>
  </r>
  <r>
    <s v="USR-101360"/>
    <d v="2025-01-07T00:00:00"/>
    <x v="1"/>
    <s v="South"/>
    <s v="Mobile"/>
    <s v="Social"/>
    <s v="Basic"/>
    <n v="0"/>
    <n v="0"/>
    <n v="0"/>
    <n v="0"/>
    <n v="0"/>
    <n v="0"/>
    <n v="0"/>
    <m/>
    <n v="50.5"/>
  </r>
  <r>
    <s v="USR-101361"/>
    <d v="2025-04-30T00:00:00"/>
    <x v="1"/>
    <s v="North"/>
    <s v="Mobile"/>
    <s v="Social"/>
    <s v="Basic"/>
    <n v="1"/>
    <n v="0"/>
    <n v="0"/>
    <n v="0"/>
    <n v="0"/>
    <n v="0"/>
    <n v="0"/>
    <m/>
    <n v="45.3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1363"/>
    <d v="2025-03-12T00:00:00"/>
    <x v="1"/>
    <s v="South"/>
    <s v="Mobile"/>
    <s v="Paid Search"/>
    <s v="Premium"/>
    <n v="1"/>
    <n v="1"/>
    <n v="1"/>
    <n v="0"/>
    <n v="0"/>
    <n v="0"/>
    <n v="0"/>
    <m/>
    <n v="88.2"/>
  </r>
  <r>
    <s v="USR-101364"/>
    <d v="2025-02-17T00:00:00"/>
    <x v="1"/>
    <s v="North"/>
    <s v="Mobile"/>
    <s v="Organic"/>
    <s v="Premium"/>
    <n v="1"/>
    <n v="0"/>
    <n v="0"/>
    <n v="0"/>
    <n v="0"/>
    <n v="0"/>
    <n v="0"/>
    <m/>
    <n v="51.8"/>
  </r>
  <r>
    <s v="USR-101365"/>
    <d v="2025-05-27T00:00:00"/>
    <x v="1"/>
    <s v="North"/>
    <s v="Desktop"/>
    <s v="Organic"/>
    <s v="Basic"/>
    <n v="0"/>
    <n v="0"/>
    <n v="0"/>
    <n v="0"/>
    <n v="0"/>
    <n v="0"/>
    <n v="0"/>
    <m/>
    <n v="87.9"/>
  </r>
  <r>
    <s v="USR-101366"/>
    <d v="2025-05-10T00:00:00"/>
    <x v="1"/>
    <s v="South"/>
    <s v="Mobile"/>
    <s v="Social"/>
    <s v="Premium"/>
    <n v="1"/>
    <n v="0"/>
    <n v="0"/>
    <n v="0"/>
    <n v="0"/>
    <n v="2"/>
    <n v="0"/>
    <m/>
    <n v="70.5"/>
  </r>
  <r>
    <s v="USR-101367"/>
    <d v="2025-01-20T00:00:00"/>
    <x v="1"/>
    <s v="North"/>
    <s v="Mobile"/>
    <s v="Organic"/>
    <s v="Basic"/>
    <n v="1"/>
    <n v="1"/>
    <n v="0"/>
    <n v="0"/>
    <n v="0"/>
    <n v="2"/>
    <n v="0"/>
    <m/>
    <n v="58.5"/>
  </r>
  <r>
    <s v="USR-101368"/>
    <d v="2025-01-19T00:00:00"/>
    <x v="1"/>
    <s v="East"/>
    <s v="Mobile"/>
    <s v="Referral"/>
    <s v="Free"/>
    <n v="1"/>
    <n v="0"/>
    <n v="0"/>
    <n v="0"/>
    <n v="0"/>
    <n v="0"/>
    <n v="0"/>
    <m/>
    <n v="65.599999999999994"/>
  </r>
  <r>
    <s v="USR-101369"/>
    <d v="2025-03-07T00:00:00"/>
    <x v="1"/>
    <s v="West"/>
    <s v="Desktop"/>
    <s v="Paid Search"/>
    <s v="Basic"/>
    <n v="1"/>
    <n v="1"/>
    <n v="0"/>
    <n v="0"/>
    <n v="0"/>
    <n v="0"/>
    <n v="0"/>
    <m/>
    <n v="62.7"/>
  </r>
  <r>
    <s v="USR-101370"/>
    <d v="2025-02-02T00:00:00"/>
    <x v="1"/>
    <s v="East"/>
    <s v="Mobile"/>
    <s v="Organic"/>
    <s v="Free"/>
    <n v="0"/>
    <n v="0"/>
    <n v="0"/>
    <n v="0"/>
    <n v="0"/>
    <n v="1"/>
    <n v="0"/>
    <m/>
    <n v="50.9"/>
  </r>
  <r>
    <s v="USR-101371"/>
    <d v="2025-03-07T00:00:00"/>
    <x v="1"/>
    <s v="North"/>
    <s v="Mobile"/>
    <s v="Organic"/>
    <s v="Free"/>
    <n v="0"/>
    <n v="0"/>
    <n v="0"/>
    <n v="0"/>
    <n v="0"/>
    <n v="1"/>
    <n v="0"/>
    <m/>
    <n v="60.6"/>
  </r>
  <r>
    <s v="USR-101372"/>
    <d v="2025-03-30T00:00:00"/>
    <x v="1"/>
    <s v="East"/>
    <s v="Desktop"/>
    <s v="Organic"/>
    <s v="Free"/>
    <n v="1"/>
    <n v="1"/>
    <n v="1"/>
    <n v="0"/>
    <n v="0"/>
    <n v="0"/>
    <n v="0"/>
    <m/>
    <n v="76.599999999999994"/>
  </r>
  <r>
    <s v="USR-101373"/>
    <d v="2025-05-05T00:00:00"/>
    <x v="1"/>
    <s v="East"/>
    <s v="Desktop"/>
    <s v="Paid Search"/>
    <s v="Free"/>
    <n v="1"/>
    <n v="1"/>
    <n v="1"/>
    <n v="0"/>
    <n v="0"/>
    <n v="0"/>
    <n v="0"/>
    <m/>
    <n v="54.4"/>
  </r>
  <r>
    <s v="USR-101374"/>
    <d v="2025-04-11T00:00:00"/>
    <x v="1"/>
    <s v="South"/>
    <s v="Mobile"/>
    <s v="Social"/>
    <s v="Free"/>
    <n v="1"/>
    <n v="0"/>
    <n v="0"/>
    <n v="0"/>
    <n v="0"/>
    <n v="0"/>
    <n v="0"/>
    <m/>
    <n v="31.2"/>
  </r>
  <r>
    <s v="USR-101375"/>
    <d v="2025-03-25T00:00:00"/>
    <x v="1"/>
    <s v="West"/>
    <s v="Desktop"/>
    <s v="Email"/>
    <s v="Premium"/>
    <n v="1"/>
    <n v="0"/>
    <n v="0"/>
    <n v="0"/>
    <n v="0"/>
    <n v="0"/>
    <n v="0"/>
    <m/>
    <n v="72.400000000000006"/>
  </r>
  <r>
    <s v="USR-101376"/>
    <d v="2025-03-24T00:00:00"/>
    <x v="1"/>
    <s v="North"/>
    <s v="Mobile"/>
    <s v="Organic"/>
    <s v="Premium"/>
    <n v="1"/>
    <n v="0"/>
    <n v="0"/>
    <n v="0"/>
    <n v="0"/>
    <n v="0"/>
    <n v="0"/>
    <m/>
    <n v="74.5"/>
  </r>
  <r>
    <s v="USR-101377"/>
    <d v="2025-04-27T00:00:00"/>
    <x v="1"/>
    <s v="East"/>
    <s v="Mobile"/>
    <s v="Organic"/>
    <s v="Basic"/>
    <n v="0"/>
    <n v="0"/>
    <n v="0"/>
    <n v="0"/>
    <n v="0"/>
    <n v="0"/>
    <n v="0"/>
    <m/>
    <n v="52.6"/>
  </r>
  <r>
    <s v="USR-101378"/>
    <d v="2025-01-25T00:00:00"/>
    <x v="1"/>
    <s v="North"/>
    <s v="Desktop"/>
    <s v="Paid Search"/>
    <s v="Free"/>
    <n v="1"/>
    <n v="0"/>
    <n v="0"/>
    <n v="0"/>
    <n v="0"/>
    <n v="0"/>
    <n v="0"/>
    <m/>
    <n v="75.400000000000006"/>
  </r>
  <r>
    <s v="USR-101379"/>
    <d v="2025-02-17T00:00:00"/>
    <x v="1"/>
    <s v="North"/>
    <s v="Tablet"/>
    <s v="Social"/>
    <s v="Basic"/>
    <n v="1"/>
    <n v="1"/>
    <n v="1"/>
    <n v="1"/>
    <n v="751.33"/>
    <n v="0"/>
    <n v="0"/>
    <n v="9"/>
    <n v="34"/>
  </r>
  <r>
    <s v="USR-101380"/>
    <d v="2025-04-13T00:00:00"/>
    <x v="1"/>
    <s v="South"/>
    <s v="Desktop"/>
    <s v="Organic"/>
    <s v="Free"/>
    <n v="1"/>
    <n v="0"/>
    <n v="0"/>
    <n v="0"/>
    <n v="0"/>
    <n v="0"/>
    <n v="0"/>
    <m/>
    <n v="67.099999999999994"/>
  </r>
  <r>
    <s v="USR-101381"/>
    <d v="2025-05-03T00:00:00"/>
    <x v="1"/>
    <s v="West"/>
    <s v="Desktop"/>
    <s v="Paid Search"/>
    <s v="Premium"/>
    <n v="1"/>
    <n v="0"/>
    <n v="0"/>
    <n v="0"/>
    <n v="0"/>
    <n v="0"/>
    <n v="0"/>
    <m/>
    <n v="37.299999999999997"/>
  </r>
  <r>
    <s v="USR-101382"/>
    <d v="2025-04-29T00:00:00"/>
    <x v="1"/>
    <s v="West"/>
    <s v="Mobile"/>
    <s v="Email"/>
    <s v="Free"/>
    <n v="1"/>
    <n v="0"/>
    <n v="0"/>
    <n v="0"/>
    <n v="0"/>
    <n v="0"/>
    <n v="0"/>
    <m/>
    <n v="54.7"/>
  </r>
  <r>
    <s v="USR-101383"/>
    <d v="2025-05-03T00:00:00"/>
    <x v="1"/>
    <s v="East"/>
    <s v="Desktop"/>
    <s v="Paid Search"/>
    <s v="Free"/>
    <n v="1"/>
    <n v="0"/>
    <n v="0"/>
    <n v="0"/>
    <n v="0"/>
    <n v="0"/>
    <n v="0"/>
    <m/>
    <n v="51.8"/>
  </r>
  <r>
    <s v="USR-101384"/>
    <d v="2025-04-28T00:00:00"/>
    <x v="1"/>
    <s v="West"/>
    <s v="Mobile"/>
    <s v="Paid Search"/>
    <s v="Free"/>
    <n v="0"/>
    <n v="0"/>
    <n v="0"/>
    <n v="0"/>
    <n v="0"/>
    <n v="0"/>
    <n v="0"/>
    <m/>
    <n v="49.2"/>
  </r>
  <r>
    <s v="USR-101385"/>
    <d v="2025-01-21T00:00:00"/>
    <x v="1"/>
    <s v="West"/>
    <s v="Mobile"/>
    <s v="Organic"/>
    <s v="Free"/>
    <n v="1"/>
    <n v="0"/>
    <n v="0"/>
    <n v="0"/>
    <n v="0"/>
    <n v="2"/>
    <n v="0"/>
    <m/>
    <n v="58.8"/>
  </r>
  <r>
    <s v="USR-101386"/>
    <d v="2025-01-21T00:00:00"/>
    <x v="1"/>
    <s v="North"/>
    <s v="Tablet"/>
    <s v="Paid Search"/>
    <s v="Basic"/>
    <n v="0"/>
    <n v="0"/>
    <n v="0"/>
    <n v="0"/>
    <n v="0"/>
    <n v="1"/>
    <n v="0"/>
    <m/>
    <n v="59.1"/>
  </r>
  <r>
    <s v="USR-101387"/>
    <d v="2025-05-21T00:00:00"/>
    <x v="1"/>
    <s v="West"/>
    <s v="Desktop"/>
    <s v="Paid Search"/>
    <s v="Free"/>
    <n v="1"/>
    <n v="0"/>
    <n v="0"/>
    <n v="0"/>
    <n v="0"/>
    <n v="2"/>
    <n v="0"/>
    <m/>
    <n v="49.6"/>
  </r>
  <r>
    <s v="USR-101388"/>
    <d v="2025-01-05T00:00:00"/>
    <x v="1"/>
    <s v="North"/>
    <s v="Mobile"/>
    <s v="Referral"/>
    <s v="Free"/>
    <n v="0"/>
    <n v="0"/>
    <n v="0"/>
    <n v="0"/>
    <n v="0"/>
    <n v="0"/>
    <n v="0"/>
    <m/>
    <n v="58.2"/>
  </r>
  <r>
    <s v="USR-101389"/>
    <d v="2025-03-06T00:00:00"/>
    <x v="1"/>
    <s v="South"/>
    <s v="Desktop"/>
    <s v="Organic"/>
    <s v="Free"/>
    <n v="1"/>
    <n v="0"/>
    <n v="0"/>
    <n v="0"/>
    <n v="0"/>
    <n v="0"/>
    <n v="0"/>
    <m/>
    <n v="66.8"/>
  </r>
  <r>
    <s v="USR-101390"/>
    <d v="2025-04-18T00:00:00"/>
    <x v="1"/>
    <s v="North"/>
    <s v="Mobile"/>
    <s v="Paid Search"/>
    <s v="Free"/>
    <n v="1"/>
    <n v="0"/>
    <n v="0"/>
    <n v="0"/>
    <n v="0"/>
    <n v="3"/>
    <n v="0"/>
    <m/>
    <n v="58.3"/>
  </r>
  <r>
    <s v="USR-101391"/>
    <d v="2025-04-15T00:00:00"/>
    <x v="1"/>
    <s v="West"/>
    <s v="Mobile"/>
    <s v="Organic"/>
    <s v="Basic"/>
    <n v="1"/>
    <n v="1"/>
    <n v="1"/>
    <n v="0"/>
    <n v="0"/>
    <n v="0"/>
    <n v="0"/>
    <m/>
    <n v="38.5"/>
  </r>
  <r>
    <s v="USR-101392"/>
    <d v="2025-02-10T00:00:00"/>
    <x v="1"/>
    <s v="East"/>
    <s v="Mobile"/>
    <s v="Paid Search"/>
    <s v="Free"/>
    <n v="1"/>
    <n v="0"/>
    <n v="0"/>
    <n v="0"/>
    <n v="0"/>
    <n v="0"/>
    <n v="0"/>
    <m/>
    <n v="76.900000000000006"/>
  </r>
  <r>
    <s v="USR-101393"/>
    <d v="2025-05-08T00:00:00"/>
    <x v="1"/>
    <s v="East"/>
    <s v="Mobile"/>
    <s v="Organic"/>
    <s v="Free"/>
    <n v="1"/>
    <n v="0"/>
    <n v="0"/>
    <n v="0"/>
    <n v="0"/>
    <n v="0"/>
    <n v="0"/>
    <m/>
    <n v="54"/>
  </r>
  <r>
    <s v="USR-101394"/>
    <d v="2025-05-28T00:00:00"/>
    <x v="1"/>
    <s v="East"/>
    <s v="Tablet"/>
    <s v="Organic"/>
    <s v="Free"/>
    <n v="1"/>
    <n v="0"/>
    <n v="0"/>
    <n v="0"/>
    <n v="0"/>
    <n v="0"/>
    <n v="0"/>
    <m/>
    <n v="70.599999999999994"/>
  </r>
  <r>
    <s v="USR-101395"/>
    <d v="2025-04-25T00:00:00"/>
    <x v="1"/>
    <s v="North"/>
    <s v="Tablet"/>
    <s v="Referral"/>
    <s v="Premium"/>
    <n v="1"/>
    <n v="1"/>
    <n v="1"/>
    <n v="0"/>
    <n v="0"/>
    <n v="1"/>
    <n v="0"/>
    <m/>
    <n v="69.400000000000006"/>
  </r>
  <r>
    <s v="USR-101396"/>
    <d v="2025-02-11T00:00:00"/>
    <x v="1"/>
    <s v="South"/>
    <s v="Mobile"/>
    <m/>
    <s v="Premium"/>
    <n v="1"/>
    <n v="1"/>
    <n v="1"/>
    <n v="1"/>
    <n v="1009.9"/>
    <n v="0"/>
    <n v="0"/>
    <n v="6"/>
    <n v="89.7"/>
  </r>
  <r>
    <s v="USR-101397"/>
    <d v="2025-04-14T00:00:00"/>
    <x v="1"/>
    <s v="West"/>
    <s v="Mobile"/>
    <s v="Organic"/>
    <s v="Free"/>
    <n v="1"/>
    <n v="0"/>
    <n v="0"/>
    <n v="0"/>
    <n v="0"/>
    <n v="0"/>
    <n v="0"/>
    <m/>
    <n v="62.4"/>
  </r>
  <r>
    <s v="USR-101398"/>
    <d v="2025-02-04T00:00:00"/>
    <x v="1"/>
    <s v="West"/>
    <s v="Tablet"/>
    <s v="Organic"/>
    <s v="Premium"/>
    <n v="0"/>
    <n v="0"/>
    <n v="0"/>
    <n v="0"/>
    <n v="0"/>
    <n v="0"/>
    <n v="0"/>
    <m/>
    <n v="67.3"/>
  </r>
  <r>
    <s v="USR-101399"/>
    <d v="2025-03-22T00:00:00"/>
    <x v="1"/>
    <s v="East"/>
    <s v="Mobile"/>
    <s v="Referral"/>
    <s v="Free"/>
    <n v="1"/>
    <n v="0"/>
    <n v="0"/>
    <n v="0"/>
    <n v="0"/>
    <n v="0"/>
    <n v="0"/>
    <m/>
    <n v="54.9"/>
  </r>
  <r>
    <s v="USR-101400"/>
    <d v="2025-04-18T00:00:00"/>
    <x v="1"/>
    <s v="East"/>
    <s v="Desktop"/>
    <s v="Social"/>
    <s v="Free"/>
    <n v="0"/>
    <n v="0"/>
    <n v="0"/>
    <n v="0"/>
    <n v="0"/>
    <n v="0"/>
    <n v="0"/>
    <m/>
    <n v="55.7"/>
  </r>
  <r>
    <s v="USR-100917"/>
    <d v="2025-02-23T00:00:00"/>
    <x v="1"/>
    <s v="West"/>
    <s v="Desktop"/>
    <s v="Social"/>
    <s v="Basic"/>
    <n v="1"/>
    <n v="1"/>
    <n v="1"/>
    <n v="0"/>
    <n v="0"/>
    <n v="0"/>
    <n v="0"/>
    <m/>
    <n v="70.599999999999994"/>
  </r>
  <r>
    <s v="USR-100433"/>
    <d v="2025-02-03T00:00:00"/>
    <x v="0"/>
    <s v="North"/>
    <s v="Tablet"/>
    <s v="Email"/>
    <s v="Basic"/>
    <n v="1"/>
    <n v="0"/>
    <n v="0"/>
    <n v="0"/>
    <n v="0"/>
    <n v="0"/>
    <n v="0"/>
    <m/>
    <n v="60.9"/>
  </r>
  <r>
    <s v="USR-101362"/>
    <d v="2025-05-23T00:00:00"/>
    <x v="1"/>
    <s v="East"/>
    <s v="Mobile"/>
    <s v="Organic"/>
    <s v="Basic"/>
    <n v="1"/>
    <n v="0"/>
    <n v="0"/>
    <n v="0"/>
    <n v="0"/>
    <n v="0"/>
    <n v="0"/>
    <m/>
    <n v="33.6"/>
  </r>
  <r>
    <s v="USR-100096"/>
    <d v="2025-02-05T00:00:00"/>
    <x v="0"/>
    <s v="East"/>
    <s v="Mobile"/>
    <s v="Social"/>
    <s v="Free"/>
    <n v="0"/>
    <n v="0"/>
    <n v="0"/>
    <n v="0"/>
    <n v="0"/>
    <n v="0"/>
    <n v="0"/>
    <m/>
    <n v="68"/>
  </r>
  <r>
    <s v="USR-101210"/>
    <d v="2025-02-24T00:00:00"/>
    <x v="1"/>
    <s v="West"/>
    <s v="Mobile"/>
    <s v="Organic"/>
    <s v="Basic"/>
    <n v="1"/>
    <n v="0"/>
    <n v="0"/>
    <n v="0"/>
    <n v="0"/>
    <n v="0"/>
    <n v="0"/>
    <m/>
    <n v="62"/>
  </r>
  <r>
    <s v="USR-101232"/>
    <d v="2025-03-30T00:00:00"/>
    <x v="1"/>
    <s v="East"/>
    <s v="Mobile"/>
    <s v="Organic"/>
    <s v="Free"/>
    <n v="1"/>
    <n v="1"/>
    <n v="1"/>
    <n v="0"/>
    <n v="0"/>
    <n v="1"/>
    <n v="0"/>
    <m/>
    <n v="72.5"/>
  </r>
  <r>
    <s v="USR-101059"/>
    <d v="2025-05-16T00:00:00"/>
    <x v="1"/>
    <s v="South"/>
    <s v="Mobile"/>
    <s v="Organic"/>
    <s v="Free"/>
    <n v="1"/>
    <n v="0"/>
    <n v="0"/>
    <n v="0"/>
    <n v="0"/>
    <n v="0"/>
    <n v="0"/>
    <m/>
    <n v="70.3"/>
  </r>
  <r>
    <s v="USR-100541"/>
    <d v="2025-05-22T00:00:00"/>
    <x v="0"/>
    <s v="North"/>
    <s v="Mobile"/>
    <s v="Paid Search"/>
    <s v="Basic"/>
    <n v="1"/>
    <n v="1"/>
    <n v="0"/>
    <n v="0"/>
    <n v="0"/>
    <n v="0"/>
    <n v="0"/>
    <m/>
    <n v="39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n v="1"/>
    <s v="Unique ID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n v="1"/>
    <s v="Unique ID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n v="1"/>
    <s v="Unique ID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n v="1"/>
    <s v="Unique ID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n v="1"/>
    <s v="Unique ID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n v="1"/>
    <s v="Unique ID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n v="1"/>
    <s v="Unique ID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n v="1"/>
    <s v="Unique ID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n v="1"/>
    <s v="Unique ID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n v="1"/>
    <s v="Unique ID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n v="1"/>
    <s v="Unique ID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n v="1"/>
    <s v="Unique ID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n v="1"/>
    <s v="Unique ID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n v="1"/>
    <s v="Unique ID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n v="1"/>
    <s v="Unique ID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n v="1"/>
    <s v="Unique ID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n v="1"/>
    <s v="Unique ID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n v="1"/>
    <s v="Unique ID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n v="1"/>
    <s v="Unique ID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n v="1"/>
    <s v="Unique ID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n v="1"/>
    <s v="Unique ID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n v="1"/>
    <s v="Unique ID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n v="1"/>
    <s v="Unique ID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n v="1"/>
    <s v="Unique ID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n v="1"/>
    <s v="Unique ID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n v="1"/>
    <s v="Unique ID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n v="1"/>
    <s v="Unique ID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n v="1"/>
    <s v="Unique ID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n v="1"/>
    <s v="Unique ID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n v="1"/>
    <s v="Unique ID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n v="1"/>
    <s v="Unique ID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n v="1"/>
    <s v="Unique ID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n v="1"/>
    <s v="Unique ID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n v="1"/>
    <s v="Unique ID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n v="1"/>
    <s v="Unique ID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n v="1"/>
    <s v="Unique ID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n v="1"/>
    <s v="Unique ID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n v="1"/>
    <s v="Unique ID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n v="1"/>
    <s v="Unique ID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n v="1"/>
    <s v="Unique ID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n v="1"/>
    <s v="Unique ID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n v="1"/>
    <s v="Unique ID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n v="1"/>
    <s v="Unique ID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n v="1"/>
    <s v="Unique ID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n v="1"/>
    <s v="Unique ID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n v="1"/>
    <s v="Unique ID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n v="1"/>
    <s v="Unique ID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n v="1"/>
    <s v="Unique ID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n v="1"/>
    <s v="Unique ID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n v="1"/>
    <s v="Unique ID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n v="1"/>
    <s v="Unique ID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n v="1"/>
    <s v="Unique ID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n v="1"/>
    <s v="Unique ID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n v="1"/>
    <s v="Unique ID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n v="1"/>
    <s v="Unique ID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n v="1"/>
    <s v="Unique ID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n v="1"/>
    <s v="Unique ID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n v="1"/>
    <s v="Unique ID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n v="1"/>
    <s v="Unique ID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n v="1"/>
    <s v="Unique ID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n v="1"/>
    <s v="Unique ID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n v="1"/>
    <s v="Unique ID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n v="1"/>
    <s v="Unique ID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n v="1"/>
    <s v="Unique ID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n v="1"/>
    <s v="Unique ID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n v="1"/>
    <s v="Unique ID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n v="1"/>
    <s v="Unique ID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n v="1"/>
    <s v="Unique ID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n v="1"/>
    <s v="Unique ID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n v="1"/>
    <s v="Unique ID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n v="1"/>
    <s v="Unique ID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n v="1"/>
    <s v="Unique ID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n v="1"/>
    <s v="Unique ID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n v="1"/>
    <s v="Unique ID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n v="1"/>
    <s v="Unique ID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n v="1"/>
    <s v="Unique ID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n v="1"/>
    <s v="Unique ID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n v="1"/>
    <s v="Unique ID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n v="1"/>
    <s v="Unique ID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n v="1"/>
    <s v="Unique ID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n v="1"/>
    <s v="Unique ID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n v="1"/>
    <s v="Unique ID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n v="1"/>
    <s v="Unique ID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n v="1"/>
    <s v="Unique ID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n v="1"/>
    <s v="Unique ID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n v="1"/>
    <s v="Unique ID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n v="1"/>
    <s v="Unique ID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n v="1"/>
    <s v="Unique ID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n v="1"/>
    <s v="Unique ID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n v="1"/>
    <s v="Unique ID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n v="1"/>
    <s v="Unique ID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n v="1"/>
    <s v="Unique ID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n v="1"/>
    <s v="Unique ID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n v="1"/>
    <s v="Unique ID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n v="1"/>
    <s v="Unique ID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  <s v="Duplicate ID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n v="1"/>
    <s v="Unique ID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n v="1"/>
    <s v="Unique ID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n v="1"/>
    <s v="Unique ID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n v="1"/>
    <s v="Unique ID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n v="1"/>
    <s v="Unique ID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n v="1"/>
    <s v="Unique ID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n v="1"/>
    <s v="Unique ID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n v="1"/>
    <s v="Unique ID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n v="1"/>
    <s v="Unique ID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n v="1"/>
    <s v="Unique ID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n v="1"/>
    <s v="Unique ID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n v="1"/>
    <s v="Unique ID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n v="1"/>
    <s v="Unique ID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n v="1"/>
    <s v="Unique ID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n v="1"/>
    <s v="Unique ID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n v="1"/>
    <s v="Unique ID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n v="1"/>
    <s v="Unique ID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n v="1"/>
    <s v="Unique ID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n v="1"/>
    <s v="Unique ID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n v="1"/>
    <s v="Unique ID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n v="1"/>
    <s v="Unique ID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n v="1"/>
    <s v="Unique ID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n v="1"/>
    <s v="Unique ID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n v="1"/>
    <s v="Unique ID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n v="1"/>
    <s v="Unique ID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n v="1"/>
    <s v="Unique ID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n v="1"/>
    <s v="Unique ID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n v="1"/>
    <s v="Unique ID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n v="1"/>
    <s v="Unique ID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n v="1"/>
    <s v="Unique ID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n v="1"/>
    <s v="Unique ID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n v="1"/>
    <s v="Unique ID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n v="1"/>
    <s v="Unique ID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n v="1"/>
    <s v="Unique ID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n v="1"/>
    <s v="Unique ID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n v="1"/>
    <s v="Unique ID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n v="1"/>
    <s v="Unique ID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n v="1"/>
    <s v="Unique ID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n v="1"/>
    <s v="Unique ID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n v="1"/>
    <s v="Unique ID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n v="1"/>
    <s v="Unique ID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n v="1"/>
    <s v="Unique ID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n v="1"/>
    <s v="Unique ID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n v="1"/>
    <s v="Unique ID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n v="1"/>
    <s v="Unique ID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n v="1"/>
    <s v="Unique ID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n v="1"/>
    <s v="Unique ID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n v="1"/>
    <s v="Unique ID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n v="1"/>
    <s v="Unique ID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n v="1"/>
    <s v="Unique ID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n v="1"/>
    <s v="Unique ID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n v="1"/>
    <s v="Unique ID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n v="1"/>
    <s v="Unique ID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n v="1"/>
    <s v="Unique ID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n v="1"/>
    <s v="Unique ID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n v="1"/>
    <s v="Unique ID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n v="1"/>
    <s v="Unique ID"/>
  </r>
  <r>
    <s v="USR-100154"/>
    <d v="2025-03-04T00:00:00"/>
    <x v="0"/>
    <x v="3"/>
    <x v="1"/>
    <x v="3"/>
    <x v="1"/>
    <n v="1"/>
    <n v="1"/>
    <n v="0"/>
    <n v="0"/>
    <n v="0"/>
    <n v="0"/>
    <n v="0"/>
    <m/>
    <m/>
    <n v="1"/>
    <s v="Unique ID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n v="1"/>
    <s v="Unique ID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n v="1"/>
    <s v="Unique ID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n v="1"/>
    <s v="Unique ID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n v="1"/>
    <s v="Unique ID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n v="1"/>
    <s v="Unique ID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n v="1"/>
    <s v="Unique ID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n v="1"/>
    <s v="Unique ID"/>
  </r>
  <r>
    <s v="USR-100162"/>
    <d v="2025-02-01T00:00:00"/>
    <x v="0"/>
    <x v="0"/>
    <x v="1"/>
    <x v="1"/>
    <x v="1"/>
    <n v="0"/>
    <n v="0"/>
    <n v="0"/>
    <n v="0"/>
    <n v="0"/>
    <n v="0"/>
    <n v="0"/>
    <m/>
    <m/>
    <n v="1"/>
    <s v="Unique ID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n v="1"/>
    <s v="Unique ID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n v="1"/>
    <s v="Unique ID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n v="1"/>
    <s v="Unique ID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n v="1"/>
    <s v="Unique ID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n v="1"/>
    <s v="Unique ID"/>
  </r>
  <r>
    <s v="USR-100168"/>
    <d v="2025-03-06T00:00:00"/>
    <x v="0"/>
    <x v="3"/>
    <x v="1"/>
    <x v="2"/>
    <x v="1"/>
    <n v="1"/>
    <n v="0"/>
    <n v="0"/>
    <n v="0"/>
    <n v="0"/>
    <n v="1"/>
    <n v="0"/>
    <m/>
    <m/>
    <n v="1"/>
    <s v="Unique ID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n v="1"/>
    <s v="Unique ID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n v="1"/>
    <s v="Unique ID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n v="1"/>
    <s v="Unique ID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n v="1"/>
    <s v="Unique ID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n v="1"/>
    <s v="Unique ID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n v="1"/>
    <s v="Unique ID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n v="1"/>
    <s v="Unique ID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n v="1"/>
    <s v="Unique ID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n v="1"/>
    <s v="Unique ID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n v="1"/>
    <s v="Unique ID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n v="1"/>
    <s v="Unique ID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n v="1"/>
    <s v="Unique ID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n v="1"/>
    <s v="Unique ID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n v="1"/>
    <s v="Unique ID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n v="1"/>
    <s v="Unique ID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n v="1"/>
    <s v="Unique ID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n v="1"/>
    <s v="Unique ID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n v="1"/>
    <s v="Unique ID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n v="1"/>
    <s v="Unique ID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n v="1"/>
    <s v="Unique ID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n v="1"/>
    <s v="Unique ID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n v="1"/>
    <s v="Unique ID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n v="1"/>
    <s v="Unique ID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n v="1"/>
    <s v="Unique ID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n v="1"/>
    <s v="Unique ID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n v="1"/>
    <s v="Unique ID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n v="1"/>
    <s v="Unique ID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n v="1"/>
    <s v="Unique ID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n v="1"/>
    <s v="Unique ID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n v="1"/>
    <s v="Unique ID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n v="1"/>
    <s v="Unique ID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n v="1"/>
    <s v="Unique ID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n v="1"/>
    <s v="Unique ID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n v="1"/>
    <s v="Unique ID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n v="1"/>
    <s v="Unique ID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n v="1"/>
    <s v="Unique ID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n v="1"/>
    <s v="Unique ID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n v="1"/>
    <s v="Unique ID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n v="1"/>
    <s v="Unique ID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n v="1"/>
    <s v="Unique ID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n v="1"/>
    <s v="Unique ID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n v="1"/>
    <s v="Unique ID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n v="1"/>
    <s v="Unique ID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n v="1"/>
    <s v="Unique ID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n v="1"/>
    <s v="Unique ID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n v="1"/>
    <s v="Unique ID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n v="1"/>
    <s v="Unique ID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n v="1"/>
    <s v="Unique ID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n v="1"/>
    <s v="Unique ID"/>
  </r>
  <r>
    <s v="USR-100218"/>
    <d v="2025-02-25T00:00:00"/>
    <x v="0"/>
    <x v="0"/>
    <x v="2"/>
    <x v="4"/>
    <x v="1"/>
    <n v="1"/>
    <n v="0"/>
    <n v="0"/>
    <n v="0"/>
    <n v="0"/>
    <n v="0"/>
    <n v="0"/>
    <m/>
    <m/>
    <n v="1"/>
    <s v="Unique ID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n v="1"/>
    <s v="Unique ID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n v="1"/>
    <s v="Unique ID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n v="1"/>
    <s v="Unique ID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n v="1"/>
    <s v="Unique ID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n v="1"/>
    <s v="Unique ID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n v="1"/>
    <s v="Unique ID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n v="1"/>
    <s v="Unique ID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n v="1"/>
    <s v="Unique ID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n v="1"/>
    <s v="Unique ID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n v="1"/>
    <s v="Unique ID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n v="1"/>
    <s v="Unique ID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n v="1"/>
    <s v="Unique ID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n v="1"/>
    <s v="Unique ID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n v="1"/>
    <s v="Unique ID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n v="1"/>
    <s v="Unique ID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n v="1"/>
    <s v="Unique ID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n v="1"/>
    <s v="Unique ID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n v="1"/>
    <s v="Unique ID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n v="1"/>
    <s v="Unique ID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n v="1"/>
    <s v="Unique ID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n v="1"/>
    <s v="Unique ID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n v="1"/>
    <s v="Unique ID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n v="1"/>
    <s v="Unique ID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n v="1"/>
    <s v="Unique ID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n v="1"/>
    <s v="Unique ID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n v="1"/>
    <s v="Unique ID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n v="1"/>
    <s v="Unique ID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n v="1"/>
    <s v="Unique ID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n v="1"/>
    <s v="Unique ID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n v="1"/>
    <s v="Unique ID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n v="1"/>
    <s v="Unique ID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n v="1"/>
    <s v="Unique ID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n v="1"/>
    <s v="Unique ID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n v="1"/>
    <s v="Unique ID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n v="1"/>
    <s v="Unique ID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n v="1"/>
    <s v="Unique ID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n v="1"/>
    <s v="Unique ID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n v="1"/>
    <s v="Unique ID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n v="1"/>
    <s v="Unique ID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n v="1"/>
    <s v="Unique ID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n v="1"/>
    <s v="Unique ID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n v="1"/>
    <s v="Unique ID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n v="1"/>
    <s v="Unique ID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n v="1"/>
    <s v="Unique ID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n v="1"/>
    <s v="Unique ID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n v="1"/>
    <s v="Unique ID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n v="1"/>
    <s v="Unique ID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n v="1"/>
    <s v="Unique ID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n v="1"/>
    <s v="Unique ID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n v="1"/>
    <s v="Unique ID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n v="1"/>
    <s v="Unique ID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n v="1"/>
    <s v="Unique ID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n v="1"/>
    <s v="Unique ID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n v="1"/>
    <s v="Unique ID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n v="1"/>
    <s v="Unique ID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n v="1"/>
    <s v="Unique ID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n v="1"/>
    <s v="Unique ID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n v="1"/>
    <s v="Unique ID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n v="1"/>
    <s v="Unique ID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n v="1"/>
    <s v="Unique ID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n v="1"/>
    <s v="Unique ID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n v="1"/>
    <s v="Unique ID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n v="1"/>
    <s v="Unique ID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n v="1"/>
    <s v="Unique ID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n v="1"/>
    <s v="Unique ID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n v="1"/>
    <s v="Unique ID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n v="1"/>
    <s v="Unique ID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n v="1"/>
    <s v="Unique ID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n v="1"/>
    <s v="Unique ID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n v="1"/>
    <s v="Unique ID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n v="1"/>
    <s v="Unique ID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n v="1"/>
    <s v="Unique ID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n v="1"/>
    <s v="Unique ID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n v="1"/>
    <s v="Unique ID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n v="1"/>
    <s v="Unique ID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n v="1"/>
    <s v="Unique ID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n v="1"/>
    <s v="Unique ID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n v="1"/>
    <s v="Unique ID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n v="1"/>
    <s v="Unique ID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n v="1"/>
    <s v="Unique ID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n v="1"/>
    <s v="Unique ID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n v="1"/>
    <s v="Unique ID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n v="1"/>
    <s v="Unique ID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n v="1"/>
    <s v="Unique ID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n v="1"/>
    <s v="Unique ID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n v="1"/>
    <s v="Unique ID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n v="1"/>
    <s v="Unique ID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n v="1"/>
    <s v="Unique ID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n v="1"/>
    <s v="Unique ID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n v="1"/>
    <s v="Unique ID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n v="1"/>
    <s v="Unique ID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n v="1"/>
    <s v="Unique ID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n v="1"/>
    <s v="Unique ID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n v="1"/>
    <s v="Unique ID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n v="1"/>
    <s v="Unique ID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n v="1"/>
    <s v="Unique ID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n v="1"/>
    <s v="Unique ID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n v="1"/>
    <s v="Unique ID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n v="1"/>
    <s v="Unique ID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n v="1"/>
    <s v="Unique ID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n v="1"/>
    <s v="Unique ID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n v="1"/>
    <s v="Unique ID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n v="1"/>
    <s v="Unique ID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n v="1"/>
    <s v="Unique ID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n v="1"/>
    <s v="Unique ID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n v="1"/>
    <s v="Unique ID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n v="1"/>
    <s v="Unique ID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n v="1"/>
    <s v="Unique ID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n v="1"/>
    <s v="Unique ID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n v="1"/>
    <s v="Unique ID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n v="1"/>
    <s v="Unique ID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n v="1"/>
    <s v="Unique ID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n v="1"/>
    <s v="Unique ID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n v="1"/>
    <s v="Unique ID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n v="1"/>
    <s v="Unique ID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n v="1"/>
    <s v="Unique ID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n v="1"/>
    <s v="Unique ID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n v="1"/>
    <s v="Unique ID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n v="1"/>
    <s v="Unique ID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n v="1"/>
    <s v="Unique ID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n v="1"/>
    <s v="Unique ID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n v="1"/>
    <s v="Unique ID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n v="1"/>
    <s v="Unique ID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n v="1"/>
    <s v="Unique ID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n v="1"/>
    <s v="Unique ID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n v="1"/>
    <s v="Unique ID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n v="1"/>
    <s v="Unique ID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n v="1"/>
    <s v="Unique ID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n v="1"/>
    <s v="Unique ID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n v="1"/>
    <s v="Unique ID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n v="1"/>
    <s v="Unique ID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n v="1"/>
    <s v="Unique ID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n v="1"/>
    <s v="Unique ID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n v="1"/>
    <s v="Unique ID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n v="1"/>
    <s v="Unique ID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n v="1"/>
    <s v="Unique ID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n v="1"/>
    <s v="Unique ID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n v="1"/>
    <s v="Unique ID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n v="1"/>
    <s v="Unique ID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n v="1"/>
    <s v="Unique ID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n v="1"/>
    <s v="Unique ID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n v="1"/>
    <s v="Unique ID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n v="1"/>
    <s v="Unique ID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n v="1"/>
    <s v="Unique ID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n v="1"/>
    <s v="Unique ID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n v="1"/>
    <s v="Unique ID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n v="1"/>
    <s v="Unique ID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n v="1"/>
    <s v="Unique ID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n v="1"/>
    <s v="Unique ID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n v="1"/>
    <s v="Unique ID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n v="1"/>
    <s v="Unique ID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n v="1"/>
    <s v="Unique ID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n v="1"/>
    <s v="Unique ID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n v="1"/>
    <s v="Unique ID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n v="1"/>
    <s v="Unique ID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n v="1"/>
    <s v="Unique ID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n v="1"/>
    <s v="Unique ID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n v="1"/>
    <s v="Unique ID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n v="1"/>
    <s v="Unique ID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n v="1"/>
    <s v="Unique ID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n v="1"/>
    <s v="Unique ID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n v="1"/>
    <s v="Unique ID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n v="1"/>
    <s v="Unique ID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n v="1"/>
    <s v="Unique ID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n v="1"/>
    <s v="Unique ID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n v="1"/>
    <s v="Unique ID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n v="1"/>
    <s v="Unique ID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n v="1"/>
    <s v="Unique ID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n v="1"/>
    <s v="Unique ID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n v="1"/>
    <s v="Unique ID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n v="1"/>
    <s v="Unique ID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n v="1"/>
    <s v="Unique ID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n v="1"/>
    <s v="Unique ID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n v="1"/>
    <s v="Unique ID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n v="1"/>
    <s v="Unique ID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n v="1"/>
    <s v="Unique ID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n v="1"/>
    <s v="Unique ID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n v="1"/>
    <s v="Unique ID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n v="1"/>
    <s v="Unique ID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n v="1"/>
    <s v="Unique ID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n v="1"/>
    <s v="Unique ID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n v="1"/>
    <s v="Unique ID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n v="1"/>
    <s v="Unique ID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n v="1"/>
    <s v="Unique ID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n v="1"/>
    <s v="Unique ID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n v="1"/>
    <s v="Unique ID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n v="1"/>
    <s v="Unique ID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n v="1"/>
    <s v="Unique ID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n v="1"/>
    <s v="Unique ID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n v="1"/>
    <s v="Unique ID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n v="1"/>
    <s v="Unique ID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n v="1"/>
    <s v="Unique ID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n v="1"/>
    <s v="Unique ID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n v="1"/>
    <s v="Unique ID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n v="1"/>
    <s v="Unique ID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n v="1"/>
    <s v="Unique ID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n v="1"/>
    <s v="Unique ID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n v="1"/>
    <s v="Unique ID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n v="1"/>
    <s v="Unique ID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n v="1"/>
    <s v="Unique ID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n v="1"/>
    <s v="Unique ID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n v="1"/>
    <s v="Unique ID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n v="1"/>
    <s v="Unique ID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n v="1"/>
    <s v="Unique ID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n v="1"/>
    <s v="Unique ID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n v="1"/>
    <s v="Unique ID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n v="1"/>
    <s v="Unique ID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n v="1"/>
    <s v="Unique ID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n v="1"/>
    <s v="Unique ID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n v="1"/>
    <s v="Unique ID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n v="1"/>
    <s v="Unique ID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n v="1"/>
    <s v="Unique ID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n v="1"/>
    <s v="Unique ID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n v="1"/>
    <s v="Unique ID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  <s v="Duplicate ID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n v="1"/>
    <s v="Unique ID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n v="1"/>
    <s v="Unique ID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n v="1"/>
    <s v="Unique ID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n v="1"/>
    <s v="Unique ID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n v="1"/>
    <s v="Unique ID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n v="1"/>
    <s v="Unique ID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n v="1"/>
    <s v="Unique ID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n v="1"/>
    <s v="Unique ID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n v="1"/>
    <s v="Unique ID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n v="1"/>
    <s v="Unique ID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n v="1"/>
    <s v="Unique ID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n v="1"/>
    <s v="Unique ID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n v="1"/>
    <s v="Unique ID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n v="1"/>
    <s v="Unique ID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n v="1"/>
    <s v="Unique ID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n v="1"/>
    <s v="Unique ID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n v="1"/>
    <s v="Unique ID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n v="1"/>
    <s v="Unique ID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n v="1"/>
    <s v="Unique ID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n v="1"/>
    <s v="Unique ID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n v="1"/>
    <s v="Unique ID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n v="1"/>
    <s v="Unique ID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n v="1"/>
    <s v="Unique ID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n v="1"/>
    <s v="Unique ID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n v="1"/>
    <s v="Unique ID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n v="1"/>
    <s v="Unique ID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n v="1"/>
    <s v="Unique ID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n v="1"/>
    <s v="Unique ID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n v="1"/>
    <s v="Unique ID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n v="1"/>
    <s v="Unique ID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n v="1"/>
    <s v="Unique ID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n v="1"/>
    <s v="Unique ID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n v="1"/>
    <s v="Unique ID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n v="1"/>
    <s v="Unique ID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n v="1"/>
    <s v="Unique ID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n v="1"/>
    <s v="Unique ID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n v="1"/>
    <s v="Unique ID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n v="1"/>
    <s v="Unique ID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n v="1"/>
    <s v="Unique ID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n v="1"/>
    <s v="Unique ID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n v="1"/>
    <s v="Unique ID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n v="1"/>
    <s v="Unique ID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n v="1"/>
    <s v="Unique ID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n v="1"/>
    <s v="Unique ID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n v="1"/>
    <s v="Unique ID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n v="1"/>
    <s v="Unique ID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n v="1"/>
    <s v="Unique ID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n v="1"/>
    <s v="Unique ID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n v="1"/>
    <s v="Unique ID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n v="1"/>
    <s v="Unique ID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n v="1"/>
    <s v="Unique ID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n v="1"/>
    <s v="Unique ID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n v="1"/>
    <s v="Unique ID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n v="1"/>
    <s v="Unique ID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n v="1"/>
    <s v="Unique ID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n v="1"/>
    <s v="Unique ID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n v="1"/>
    <s v="Unique ID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n v="1"/>
    <s v="Unique ID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n v="1"/>
    <s v="Unique ID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n v="1"/>
    <s v="Unique ID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n v="1"/>
    <s v="Unique ID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n v="1"/>
    <s v="Unique ID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n v="1"/>
    <s v="Unique ID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n v="1"/>
    <s v="Unique ID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n v="1"/>
    <s v="Unique ID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n v="1"/>
    <s v="Unique ID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n v="1"/>
    <s v="Unique ID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n v="1"/>
    <s v="Unique ID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n v="1"/>
    <s v="Unique ID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n v="1"/>
    <s v="Unique ID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n v="1"/>
    <s v="Unique ID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n v="1"/>
    <s v="Unique ID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n v="1"/>
    <s v="Unique ID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n v="1"/>
    <s v="Unique ID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n v="1"/>
    <s v="Unique ID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n v="1"/>
    <s v="Unique ID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n v="1"/>
    <s v="Unique ID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n v="1"/>
    <s v="Unique ID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n v="1"/>
    <s v="Unique ID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n v="1"/>
    <s v="Unique ID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n v="1"/>
    <s v="Unique ID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n v="1"/>
    <s v="Unique ID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n v="1"/>
    <s v="Unique ID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n v="1"/>
    <s v="Unique ID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n v="1"/>
    <s v="Unique ID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n v="1"/>
    <s v="Unique ID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n v="1"/>
    <s v="Unique ID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n v="1"/>
    <s v="Unique ID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n v="1"/>
    <s v="Unique ID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n v="1"/>
    <s v="Unique ID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n v="1"/>
    <s v="Unique ID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n v="1"/>
    <s v="Unique ID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n v="1"/>
    <s v="Unique ID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n v="1"/>
    <s v="Unique ID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n v="1"/>
    <s v="Unique ID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n v="1"/>
    <s v="Unique ID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n v="1"/>
    <s v="Unique ID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n v="1"/>
    <s v="Unique ID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n v="1"/>
    <s v="Unique ID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n v="1"/>
    <s v="Unique ID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n v="1"/>
    <s v="Unique ID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n v="1"/>
    <s v="Unique ID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n v="1"/>
    <s v="Unique ID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n v="1"/>
    <s v="Unique ID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n v="1"/>
    <s v="Unique ID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n v="1"/>
    <s v="Unique ID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n v="1"/>
    <s v="Unique ID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  <s v="Duplicate ID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n v="1"/>
    <s v="Unique ID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n v="1"/>
    <s v="Unique ID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n v="1"/>
    <s v="Unique ID"/>
  </r>
  <r>
    <s v="USR-100545"/>
    <d v="2025-01-01T00:00:00"/>
    <x v="0"/>
    <x v="3"/>
    <x v="0"/>
    <x v="4"/>
    <x v="0"/>
    <n v="0"/>
    <n v="0"/>
    <n v="0"/>
    <n v="0"/>
    <n v="0"/>
    <n v="0"/>
    <n v="0"/>
    <m/>
    <m/>
    <n v="1"/>
    <s v="Unique ID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n v="1"/>
    <s v="Unique ID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n v="1"/>
    <s v="Unique ID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n v="1"/>
    <s v="Unique ID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n v="1"/>
    <s v="Unique ID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n v="1"/>
    <s v="Unique ID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n v="1"/>
    <s v="Unique ID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n v="1"/>
    <s v="Unique ID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n v="1"/>
    <s v="Unique ID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n v="1"/>
    <s v="Unique ID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n v="1"/>
    <s v="Unique ID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n v="1"/>
    <s v="Unique ID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n v="1"/>
    <s v="Unique ID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n v="1"/>
    <s v="Unique ID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n v="1"/>
    <s v="Unique ID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n v="1"/>
    <s v="Unique ID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n v="1"/>
    <s v="Unique ID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n v="1"/>
    <s v="Unique ID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n v="1"/>
    <s v="Unique ID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n v="1"/>
    <s v="Unique ID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n v="1"/>
    <s v="Unique ID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n v="1"/>
    <s v="Unique ID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n v="1"/>
    <s v="Unique ID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n v="1"/>
    <s v="Unique ID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n v="1"/>
    <s v="Unique ID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n v="1"/>
    <s v="Unique ID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n v="1"/>
    <s v="Unique ID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n v="1"/>
    <s v="Unique ID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n v="1"/>
    <s v="Unique ID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n v="1"/>
    <s v="Unique ID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n v="1"/>
    <s v="Unique ID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n v="1"/>
    <s v="Unique ID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n v="1"/>
    <s v="Unique ID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n v="1"/>
    <s v="Unique ID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n v="1"/>
    <s v="Unique ID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n v="1"/>
    <s v="Unique ID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n v="1"/>
    <s v="Unique ID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n v="1"/>
    <s v="Unique ID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n v="1"/>
    <s v="Unique ID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n v="1"/>
    <s v="Unique ID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n v="1"/>
    <s v="Unique ID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n v="1"/>
    <s v="Unique ID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n v="1"/>
    <s v="Unique ID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n v="1"/>
    <s v="Unique ID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n v="1"/>
    <s v="Unique ID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n v="1"/>
    <s v="Unique ID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n v="1"/>
    <s v="Unique ID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n v="1"/>
    <s v="Unique ID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n v="1"/>
    <s v="Unique ID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n v="1"/>
    <s v="Unique ID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n v="1"/>
    <s v="Unique ID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n v="1"/>
    <s v="Unique ID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n v="1"/>
    <s v="Unique ID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n v="1"/>
    <s v="Unique ID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n v="1"/>
    <s v="Unique ID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n v="1"/>
    <s v="Unique ID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n v="1"/>
    <s v="Unique ID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n v="1"/>
    <s v="Unique ID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n v="1"/>
    <s v="Unique ID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n v="1"/>
    <s v="Unique ID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n v="1"/>
    <s v="Unique ID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n v="1"/>
    <s v="Unique ID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n v="1"/>
    <s v="Unique ID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n v="1"/>
    <s v="Unique ID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n v="1"/>
    <s v="Unique ID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n v="1"/>
    <s v="Unique ID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n v="1"/>
    <s v="Unique ID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n v="1"/>
    <s v="Unique ID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n v="1"/>
    <s v="Unique ID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n v="1"/>
    <s v="Unique ID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n v="1"/>
    <s v="Unique ID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n v="1"/>
    <s v="Unique ID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n v="1"/>
    <s v="Unique ID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n v="1"/>
    <s v="Unique ID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n v="1"/>
    <s v="Unique ID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n v="1"/>
    <s v="Unique ID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n v="1"/>
    <s v="Unique ID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n v="1"/>
    <s v="Unique ID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n v="1"/>
    <s v="Unique ID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n v="1"/>
    <s v="Unique ID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n v="1"/>
    <s v="Unique ID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n v="1"/>
    <s v="Unique ID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n v="1"/>
    <s v="Unique ID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n v="1"/>
    <s v="Unique ID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n v="1"/>
    <s v="Unique ID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n v="1"/>
    <s v="Unique ID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n v="1"/>
    <s v="Unique ID"/>
  </r>
  <r>
    <s v="USR-100632"/>
    <d v="2025-03-16T00:00:00"/>
    <x v="0"/>
    <x v="0"/>
    <x v="1"/>
    <x v="4"/>
    <x v="1"/>
    <n v="1"/>
    <n v="0"/>
    <n v="0"/>
    <n v="0"/>
    <n v="0"/>
    <n v="0"/>
    <n v="0"/>
    <m/>
    <m/>
    <n v="1"/>
    <s v="Unique ID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n v="1"/>
    <s v="Unique ID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n v="1"/>
    <s v="Unique ID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n v="1"/>
    <s v="Unique ID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n v="1"/>
    <s v="Unique ID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n v="1"/>
    <s v="Unique ID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n v="1"/>
    <s v="Unique ID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n v="1"/>
    <s v="Unique ID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n v="1"/>
    <s v="Unique ID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n v="1"/>
    <s v="Unique ID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n v="1"/>
    <s v="Unique ID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n v="1"/>
    <s v="Unique ID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n v="1"/>
    <s v="Unique ID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n v="1"/>
    <s v="Unique ID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n v="1"/>
    <s v="Unique ID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n v="1"/>
    <s v="Unique ID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n v="1"/>
    <s v="Unique ID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n v="1"/>
    <s v="Unique ID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n v="1"/>
    <s v="Unique ID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n v="1"/>
    <s v="Unique ID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n v="1"/>
    <s v="Unique ID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n v="1"/>
    <s v="Unique ID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n v="1"/>
    <s v="Unique ID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n v="1"/>
    <s v="Unique ID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n v="1"/>
    <s v="Unique ID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n v="1"/>
    <s v="Unique ID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n v="1"/>
    <s v="Unique ID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n v="1"/>
    <s v="Unique ID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n v="1"/>
    <s v="Unique ID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n v="1"/>
    <s v="Unique ID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n v="1"/>
    <s v="Unique ID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n v="1"/>
    <s v="Unique ID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n v="1"/>
    <s v="Unique ID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n v="1"/>
    <s v="Unique ID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n v="1"/>
    <s v="Unique ID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n v="1"/>
    <s v="Unique ID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n v="1"/>
    <s v="Unique ID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n v="1"/>
    <s v="Unique ID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n v="1"/>
    <s v="Unique ID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n v="1"/>
    <s v="Unique ID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n v="1"/>
    <s v="Unique ID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n v="1"/>
    <s v="Unique ID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n v="1"/>
    <s v="Unique ID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n v="1"/>
    <s v="Unique ID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n v="1"/>
    <s v="Unique ID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n v="1"/>
    <s v="Unique ID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n v="1"/>
    <s v="Unique ID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n v="1"/>
    <s v="Unique ID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n v="1"/>
    <s v="Unique ID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n v="1"/>
    <s v="Unique ID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n v="1"/>
    <s v="Unique ID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n v="1"/>
    <s v="Unique ID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n v="1"/>
    <s v="Unique ID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n v="1"/>
    <s v="Unique ID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n v="1"/>
    <s v="Unique ID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n v="1"/>
    <s v="Unique ID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n v="1"/>
    <s v="Unique ID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n v="1"/>
    <s v="Unique ID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n v="1"/>
    <s v="Unique ID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n v="1"/>
    <s v="Unique ID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n v="1"/>
    <s v="Unique ID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n v="1"/>
    <s v="Unique ID"/>
  </r>
  <r>
    <s v="USR-100694"/>
    <d v="2025-03-27T00:00:00"/>
    <x v="1"/>
    <x v="0"/>
    <x v="0"/>
    <x v="4"/>
    <x v="1"/>
    <n v="1"/>
    <n v="0"/>
    <n v="0"/>
    <n v="0"/>
    <n v="0"/>
    <n v="0"/>
    <n v="0"/>
    <m/>
    <m/>
    <n v="1"/>
    <s v="Unique ID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n v="1"/>
    <s v="Unique ID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n v="1"/>
    <s v="Unique ID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n v="1"/>
    <s v="Unique ID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n v="1"/>
    <s v="Unique ID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n v="1"/>
    <s v="Unique ID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n v="1"/>
    <s v="Unique ID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n v="1"/>
    <s v="Unique ID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n v="1"/>
    <s v="Unique ID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n v="1"/>
    <s v="Unique ID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n v="1"/>
    <s v="Unique ID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n v="1"/>
    <s v="Unique ID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n v="1"/>
    <s v="Unique ID"/>
  </r>
  <r>
    <s v="USR-100707"/>
    <d v="2025-01-29T00:00:00"/>
    <x v="1"/>
    <x v="0"/>
    <x v="0"/>
    <x v="1"/>
    <x v="0"/>
    <n v="1"/>
    <n v="0"/>
    <n v="0"/>
    <n v="0"/>
    <n v="0"/>
    <n v="0"/>
    <n v="0"/>
    <m/>
    <m/>
    <n v="1"/>
    <s v="Unique ID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n v="1"/>
    <s v="Unique ID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n v="1"/>
    <s v="Unique ID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n v="1"/>
    <s v="Unique ID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n v="1"/>
    <s v="Unique ID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n v="1"/>
    <s v="Unique ID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n v="1"/>
    <s v="Unique ID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n v="1"/>
    <s v="Unique ID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n v="1"/>
    <s v="Unique ID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n v="1"/>
    <s v="Unique ID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n v="1"/>
    <s v="Unique ID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n v="1"/>
    <s v="Unique ID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n v="1"/>
    <s v="Unique ID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n v="1"/>
    <s v="Unique ID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n v="1"/>
    <s v="Unique ID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n v="1"/>
    <s v="Unique ID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n v="1"/>
    <s v="Unique ID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n v="1"/>
    <s v="Unique ID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n v="1"/>
    <s v="Unique ID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n v="1"/>
    <s v="Unique ID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n v="1"/>
    <s v="Unique ID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n v="1"/>
    <s v="Unique ID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n v="1"/>
    <s v="Unique ID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n v="1"/>
    <s v="Unique ID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n v="1"/>
    <s v="Unique ID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n v="1"/>
    <s v="Unique ID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n v="1"/>
    <s v="Unique ID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n v="1"/>
    <s v="Unique ID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n v="1"/>
    <s v="Unique ID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n v="1"/>
    <s v="Unique ID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n v="1"/>
    <s v="Unique ID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n v="1"/>
    <s v="Unique ID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n v="1"/>
    <s v="Unique ID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n v="1"/>
    <s v="Unique ID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n v="1"/>
    <s v="Unique ID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n v="1"/>
    <s v="Unique ID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n v="1"/>
    <s v="Unique ID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n v="1"/>
    <s v="Unique ID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n v="1"/>
    <s v="Unique ID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n v="1"/>
    <s v="Unique ID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n v="1"/>
    <s v="Unique ID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n v="1"/>
    <s v="Unique ID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n v="1"/>
    <s v="Unique ID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n v="1"/>
    <s v="Unique ID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n v="1"/>
    <s v="Unique ID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n v="1"/>
    <s v="Unique ID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n v="1"/>
    <s v="Unique ID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n v="1"/>
    <s v="Unique ID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n v="1"/>
    <s v="Unique ID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n v="1"/>
    <s v="Unique ID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n v="1"/>
    <s v="Unique ID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n v="1"/>
    <s v="Unique ID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n v="1"/>
    <s v="Unique ID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n v="1"/>
    <s v="Unique ID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n v="1"/>
    <s v="Unique ID"/>
  </r>
  <r>
    <s v="USR-100762"/>
    <d v="2025-03-26T00:00:00"/>
    <x v="1"/>
    <x v="3"/>
    <x v="1"/>
    <x v="2"/>
    <x v="1"/>
    <n v="0"/>
    <n v="0"/>
    <n v="0"/>
    <n v="0"/>
    <n v="0"/>
    <n v="0"/>
    <n v="0"/>
    <m/>
    <m/>
    <n v="1"/>
    <s v="Unique ID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n v="1"/>
    <s v="Unique ID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n v="1"/>
    <s v="Unique ID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n v="1"/>
    <s v="Unique ID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n v="1"/>
    <s v="Unique ID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n v="1"/>
    <s v="Unique ID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n v="1"/>
    <s v="Unique ID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n v="1"/>
    <s v="Unique ID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n v="1"/>
    <s v="Unique ID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n v="1"/>
    <s v="Unique ID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n v="1"/>
    <s v="Unique ID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n v="1"/>
    <s v="Unique ID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n v="1"/>
    <s v="Unique ID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n v="1"/>
    <s v="Unique ID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n v="1"/>
    <s v="Unique ID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n v="1"/>
    <s v="Unique ID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n v="1"/>
    <s v="Unique ID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n v="1"/>
    <s v="Unique ID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n v="1"/>
    <s v="Unique ID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n v="1"/>
    <s v="Unique ID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n v="1"/>
    <s v="Unique ID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n v="1"/>
    <s v="Unique ID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n v="1"/>
    <s v="Unique ID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n v="1"/>
    <s v="Unique ID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n v="1"/>
    <s v="Unique ID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n v="1"/>
    <s v="Unique ID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n v="1"/>
    <s v="Unique ID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n v="1"/>
    <s v="Unique ID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n v="1"/>
    <s v="Unique ID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n v="1"/>
    <s v="Unique ID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n v="1"/>
    <s v="Unique ID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n v="1"/>
    <s v="Unique ID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n v="1"/>
    <s v="Unique ID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n v="1"/>
    <s v="Unique ID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n v="1"/>
    <s v="Unique ID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n v="1"/>
    <s v="Unique ID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n v="1"/>
    <s v="Unique ID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n v="1"/>
    <s v="Unique ID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n v="1"/>
    <s v="Unique ID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n v="1"/>
    <s v="Unique ID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n v="1"/>
    <s v="Unique ID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n v="1"/>
    <s v="Unique ID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n v="1"/>
    <s v="Unique ID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n v="1"/>
    <s v="Unique ID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n v="1"/>
    <s v="Unique ID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n v="1"/>
    <s v="Unique ID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n v="1"/>
    <s v="Unique ID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n v="1"/>
    <s v="Unique ID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n v="1"/>
    <s v="Unique ID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n v="1"/>
    <s v="Unique ID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n v="1"/>
    <s v="Unique ID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n v="1"/>
    <s v="Unique ID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n v="1"/>
    <s v="Unique ID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n v="1"/>
    <s v="Unique ID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n v="1"/>
    <s v="Unique ID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n v="1"/>
    <s v="Unique ID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n v="1"/>
    <s v="Unique ID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n v="1"/>
    <s v="Unique ID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n v="1"/>
    <s v="Unique ID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n v="1"/>
    <s v="Unique ID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n v="1"/>
    <s v="Unique ID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n v="1"/>
    <s v="Unique ID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n v="1"/>
    <s v="Unique ID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n v="1"/>
    <s v="Unique ID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n v="1"/>
    <s v="Unique ID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n v="1"/>
    <s v="Unique ID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n v="1"/>
    <s v="Unique ID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n v="1"/>
    <s v="Unique ID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n v="1"/>
    <s v="Unique ID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n v="1"/>
    <s v="Unique ID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n v="1"/>
    <s v="Unique ID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n v="1"/>
    <s v="Unique ID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n v="1"/>
    <s v="Unique ID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n v="1"/>
    <s v="Unique ID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n v="1"/>
    <s v="Unique ID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n v="1"/>
    <s v="Unique ID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n v="1"/>
    <s v="Unique ID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n v="1"/>
    <s v="Unique ID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n v="1"/>
    <s v="Unique ID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n v="1"/>
    <s v="Unique ID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n v="1"/>
    <s v="Unique ID"/>
  </r>
  <r>
    <s v="USR-100843"/>
    <d v="2025-02-08T00:00:00"/>
    <x v="1"/>
    <x v="3"/>
    <x v="1"/>
    <x v="1"/>
    <x v="2"/>
    <n v="1"/>
    <n v="0"/>
    <n v="0"/>
    <n v="0"/>
    <n v="0"/>
    <n v="0"/>
    <n v="0"/>
    <m/>
    <m/>
    <n v="1"/>
    <s v="Unique ID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n v="1"/>
    <s v="Unique ID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n v="1"/>
    <s v="Unique ID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n v="1"/>
    <s v="Unique ID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n v="1"/>
    <s v="Unique ID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n v="1"/>
    <s v="Unique ID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n v="1"/>
    <s v="Unique ID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n v="1"/>
    <s v="Unique ID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n v="1"/>
    <s v="Unique ID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n v="1"/>
    <s v="Unique ID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n v="1"/>
    <s v="Unique ID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n v="1"/>
    <s v="Unique ID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n v="1"/>
    <s v="Unique ID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n v="1"/>
    <s v="Unique ID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n v="1"/>
    <s v="Unique ID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n v="1"/>
    <s v="Unique ID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n v="1"/>
    <s v="Unique ID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n v="1"/>
    <s v="Unique ID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n v="1"/>
    <s v="Unique ID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n v="1"/>
    <s v="Unique ID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n v="1"/>
    <s v="Unique ID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n v="1"/>
    <s v="Unique ID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n v="1"/>
    <s v="Unique ID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n v="1"/>
    <s v="Unique ID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n v="1"/>
    <s v="Unique ID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n v="1"/>
    <s v="Unique ID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n v="1"/>
    <s v="Unique ID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n v="1"/>
    <s v="Unique ID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n v="1"/>
    <s v="Unique ID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n v="1"/>
    <s v="Unique ID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n v="1"/>
    <s v="Unique ID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n v="1"/>
    <s v="Unique ID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n v="1"/>
    <s v="Unique ID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n v="1"/>
    <s v="Unique ID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n v="1"/>
    <s v="Unique ID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n v="1"/>
    <s v="Unique ID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n v="1"/>
    <s v="Unique ID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n v="1"/>
    <s v="Unique ID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n v="1"/>
    <s v="Unique ID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n v="1"/>
    <s v="Unique ID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n v="1"/>
    <s v="Unique ID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n v="1"/>
    <s v="Unique ID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n v="1"/>
    <s v="Unique ID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n v="1"/>
    <s v="Unique ID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n v="1"/>
    <s v="Unique ID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n v="1"/>
    <s v="Unique ID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n v="1"/>
    <s v="Unique ID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n v="1"/>
    <s v="Unique ID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n v="1"/>
    <s v="Unique ID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n v="1"/>
    <s v="Unique ID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n v="1"/>
    <s v="Unique ID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n v="1"/>
    <s v="Unique ID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n v="1"/>
    <s v="Unique ID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n v="1"/>
    <s v="Unique ID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n v="1"/>
    <s v="Unique ID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n v="1"/>
    <s v="Unique ID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n v="1"/>
    <s v="Unique ID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n v="1"/>
    <s v="Unique ID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n v="1"/>
    <s v="Unique ID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n v="1"/>
    <s v="Unique ID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n v="1"/>
    <s v="Unique ID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n v="1"/>
    <s v="Unique ID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n v="1"/>
    <s v="Unique ID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n v="1"/>
    <s v="Unique ID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n v="1"/>
    <s v="Unique ID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n v="1"/>
    <s v="Unique ID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n v="1"/>
    <s v="Unique ID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n v="1"/>
    <s v="Unique ID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n v="1"/>
    <s v="Unique ID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n v="1"/>
    <s v="Unique ID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n v="1"/>
    <s v="Unique ID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n v="1"/>
    <s v="Unique ID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n v="1"/>
    <s v="Unique ID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n v="1"/>
    <s v="Unique ID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  <s v="Duplicate ID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n v="1"/>
    <s v="Unique ID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n v="1"/>
    <s v="Unique ID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n v="1"/>
    <s v="Unique ID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n v="1"/>
    <s v="Unique ID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n v="1"/>
    <s v="Unique ID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n v="1"/>
    <s v="Unique ID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n v="1"/>
    <s v="Unique ID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n v="1"/>
    <s v="Unique ID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n v="1"/>
    <s v="Unique ID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n v="1"/>
    <s v="Unique ID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n v="1"/>
    <s v="Unique ID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n v="1"/>
    <s v="Unique ID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n v="1"/>
    <s v="Unique ID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n v="1"/>
    <s v="Unique ID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n v="1"/>
    <s v="Unique ID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n v="1"/>
    <s v="Unique ID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n v="1"/>
    <s v="Unique ID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n v="1"/>
    <s v="Unique ID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n v="1"/>
    <s v="Unique ID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n v="1"/>
    <s v="Unique ID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n v="1"/>
    <s v="Unique ID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n v="1"/>
    <s v="Unique ID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n v="1"/>
    <s v="Unique ID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n v="1"/>
    <s v="Unique ID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n v="1"/>
    <s v="Unique ID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n v="1"/>
    <s v="Unique ID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n v="1"/>
    <s v="Unique ID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n v="1"/>
    <s v="Unique ID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n v="1"/>
    <s v="Unique ID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n v="1"/>
    <s v="Unique ID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n v="1"/>
    <s v="Unique ID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n v="1"/>
    <s v="Unique ID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n v="1"/>
    <s v="Unique ID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n v="1"/>
    <s v="Unique ID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n v="1"/>
    <s v="Unique ID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n v="1"/>
    <s v="Unique ID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n v="1"/>
    <s v="Unique ID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n v="1"/>
    <s v="Unique ID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n v="1"/>
    <s v="Unique ID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n v="1"/>
    <s v="Unique ID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n v="1"/>
    <s v="Unique ID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n v="1"/>
    <s v="Unique ID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n v="1"/>
    <s v="Unique ID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n v="1"/>
    <s v="Unique ID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n v="1"/>
    <s v="Unique ID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n v="1"/>
    <s v="Unique ID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n v="1"/>
    <s v="Unique ID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n v="1"/>
    <s v="Unique ID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n v="1"/>
    <s v="Unique ID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n v="1"/>
    <s v="Unique ID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n v="1"/>
    <s v="Unique ID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n v="1"/>
    <s v="Unique ID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n v="1"/>
    <s v="Unique ID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n v="1"/>
    <s v="Unique ID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n v="1"/>
    <s v="Unique ID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n v="1"/>
    <s v="Unique ID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n v="1"/>
    <s v="Unique ID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n v="1"/>
    <s v="Unique ID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n v="1"/>
    <s v="Unique ID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n v="1"/>
    <s v="Unique ID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n v="1"/>
    <s v="Unique ID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n v="1"/>
    <s v="Unique ID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n v="1"/>
    <s v="Unique ID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n v="1"/>
    <s v="Unique ID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n v="1"/>
    <s v="Unique ID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n v="1"/>
    <s v="Unique ID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n v="1"/>
    <s v="Unique ID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n v="1"/>
    <s v="Unique ID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n v="1"/>
    <s v="Unique ID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n v="1"/>
    <s v="Unique ID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n v="1"/>
    <s v="Unique ID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n v="1"/>
    <s v="Unique ID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n v="1"/>
    <s v="Unique ID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n v="1"/>
    <s v="Unique ID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n v="1"/>
    <s v="Unique ID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n v="1"/>
    <s v="Unique ID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n v="1"/>
    <s v="Unique ID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n v="1"/>
    <s v="Unique ID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n v="1"/>
    <s v="Unique ID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n v="1"/>
    <s v="Unique ID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n v="1"/>
    <s v="Unique ID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n v="1"/>
    <s v="Unique ID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n v="1"/>
    <s v="Unique ID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n v="1"/>
    <s v="Unique ID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n v="1"/>
    <s v="Unique ID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n v="1"/>
    <s v="Unique ID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n v="1"/>
    <s v="Unique ID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n v="1"/>
    <s v="Unique ID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n v="1"/>
    <s v="Unique ID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n v="1"/>
    <s v="Unique ID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n v="1"/>
    <s v="Unique ID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n v="1"/>
    <s v="Unique ID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n v="1"/>
    <s v="Unique ID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n v="1"/>
    <s v="Unique ID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n v="1"/>
    <s v="Unique ID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n v="1"/>
    <s v="Unique ID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n v="1"/>
    <s v="Unique ID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n v="1"/>
    <s v="Unique ID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n v="1"/>
    <s v="Unique ID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n v="1"/>
    <s v="Unique ID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n v="1"/>
    <s v="Unique ID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n v="1"/>
    <s v="Unique ID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n v="1"/>
    <s v="Unique ID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n v="1"/>
    <s v="Unique ID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n v="1"/>
    <s v="Unique ID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n v="1"/>
    <s v="Unique ID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n v="1"/>
    <s v="Unique ID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n v="1"/>
    <s v="Unique ID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n v="1"/>
    <s v="Unique ID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n v="1"/>
    <s v="Unique ID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n v="1"/>
    <s v="Unique ID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n v="1"/>
    <s v="Unique ID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n v="1"/>
    <s v="Unique ID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n v="1"/>
    <s v="Unique ID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n v="1"/>
    <s v="Unique ID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n v="1"/>
    <s v="Unique ID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n v="1"/>
    <s v="Unique ID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n v="1"/>
    <s v="Unique ID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n v="1"/>
    <s v="Unique ID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n v="1"/>
    <s v="Unique ID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n v="1"/>
    <s v="Unique ID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n v="1"/>
    <s v="Unique ID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n v="1"/>
    <s v="Unique ID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n v="1"/>
    <s v="Unique ID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n v="1"/>
    <s v="Unique ID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n v="1"/>
    <s v="Unique ID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n v="1"/>
    <s v="Unique ID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n v="1"/>
    <s v="Unique ID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n v="1"/>
    <s v="Unique ID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n v="1"/>
    <s v="Unique ID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n v="1"/>
    <s v="Unique ID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n v="1"/>
    <s v="Unique ID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n v="1"/>
    <s v="Unique ID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n v="1"/>
    <s v="Unique ID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n v="1"/>
    <s v="Unique ID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n v="1"/>
    <s v="Unique ID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n v="1"/>
    <s v="Unique ID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n v="1"/>
    <s v="Unique ID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n v="1"/>
    <s v="Unique ID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n v="1"/>
    <s v="Unique ID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n v="1"/>
    <s v="Unique ID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  <s v="Duplicate ID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n v="1"/>
    <s v="Unique ID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n v="1"/>
    <s v="Unique ID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n v="1"/>
    <s v="Unique ID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n v="1"/>
    <s v="Unique ID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n v="1"/>
    <s v="Unique ID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n v="1"/>
    <s v="Unique ID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n v="1"/>
    <s v="Unique ID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n v="1"/>
    <s v="Unique ID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n v="1"/>
    <s v="Unique ID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n v="1"/>
    <s v="Unique ID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n v="1"/>
    <s v="Unique ID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n v="1"/>
    <s v="Unique ID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n v="1"/>
    <s v="Unique ID"/>
  </r>
  <r>
    <s v="USR-101073"/>
    <d v="2025-05-22T00:00:00"/>
    <x v="1"/>
    <x v="2"/>
    <x v="1"/>
    <x v="3"/>
    <x v="1"/>
    <n v="1"/>
    <n v="0"/>
    <n v="0"/>
    <n v="0"/>
    <n v="0"/>
    <n v="1"/>
    <n v="0"/>
    <m/>
    <m/>
    <n v="1"/>
    <s v="Unique ID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n v="1"/>
    <s v="Unique ID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n v="1"/>
    <s v="Unique ID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n v="1"/>
    <s v="Unique ID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n v="1"/>
    <s v="Unique ID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n v="1"/>
    <s v="Unique ID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n v="1"/>
    <s v="Unique ID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n v="1"/>
    <s v="Unique ID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n v="1"/>
    <s v="Unique ID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n v="1"/>
    <s v="Unique ID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n v="1"/>
    <s v="Unique ID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n v="1"/>
    <s v="Unique ID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n v="1"/>
    <s v="Unique ID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n v="1"/>
    <s v="Unique ID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n v="1"/>
    <s v="Unique ID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n v="1"/>
    <s v="Unique ID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n v="1"/>
    <s v="Unique ID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n v="1"/>
    <s v="Unique ID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n v="1"/>
    <s v="Unique ID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n v="1"/>
    <s v="Unique ID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n v="1"/>
    <s v="Unique ID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n v="1"/>
    <s v="Unique ID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n v="1"/>
    <s v="Unique ID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n v="1"/>
    <s v="Unique ID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n v="1"/>
    <s v="Unique ID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n v="1"/>
    <s v="Unique ID"/>
  </r>
  <r>
    <s v="USR-101099"/>
    <d v="2025-04-19T00:00:00"/>
    <x v="1"/>
    <x v="0"/>
    <x v="1"/>
    <x v="2"/>
    <x v="0"/>
    <n v="1"/>
    <n v="0"/>
    <n v="0"/>
    <n v="0"/>
    <n v="0"/>
    <n v="0"/>
    <n v="0"/>
    <m/>
    <m/>
    <n v="1"/>
    <s v="Unique ID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n v="1"/>
    <s v="Unique ID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n v="1"/>
    <s v="Unique ID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n v="1"/>
    <s v="Unique ID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n v="1"/>
    <s v="Unique ID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n v="1"/>
    <s v="Unique ID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n v="1"/>
    <s v="Unique ID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n v="1"/>
    <s v="Unique ID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n v="1"/>
    <s v="Unique ID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n v="1"/>
    <s v="Unique ID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n v="1"/>
    <s v="Unique ID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n v="1"/>
    <s v="Unique ID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n v="1"/>
    <s v="Unique ID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n v="1"/>
    <s v="Unique ID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n v="1"/>
    <s v="Unique ID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n v="1"/>
    <s v="Unique ID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n v="1"/>
    <s v="Unique ID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n v="1"/>
    <s v="Unique ID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n v="1"/>
    <s v="Unique ID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n v="1"/>
    <s v="Unique ID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n v="1"/>
    <s v="Unique ID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n v="1"/>
    <s v="Unique ID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n v="1"/>
    <s v="Unique ID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n v="1"/>
    <s v="Unique ID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n v="1"/>
    <s v="Unique ID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n v="1"/>
    <s v="Unique ID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n v="1"/>
    <s v="Unique ID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n v="1"/>
    <s v="Unique ID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n v="1"/>
    <s v="Unique ID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n v="1"/>
    <s v="Unique ID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n v="1"/>
    <s v="Unique ID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n v="1"/>
    <s v="Unique ID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n v="1"/>
    <s v="Unique ID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n v="1"/>
    <s v="Unique ID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n v="1"/>
    <s v="Unique ID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n v="1"/>
    <s v="Unique ID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n v="1"/>
    <s v="Unique ID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n v="1"/>
    <s v="Unique ID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n v="1"/>
    <s v="Unique ID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n v="1"/>
    <s v="Unique ID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n v="1"/>
    <s v="Unique ID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n v="1"/>
    <s v="Unique ID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n v="1"/>
    <s v="Unique ID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n v="1"/>
    <s v="Unique ID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n v="1"/>
    <s v="Unique ID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n v="1"/>
    <s v="Unique ID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n v="1"/>
    <s v="Unique ID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n v="1"/>
    <s v="Unique ID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n v="1"/>
    <s v="Unique ID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n v="1"/>
    <s v="Unique ID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n v="1"/>
    <s v="Unique ID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n v="1"/>
    <s v="Unique ID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n v="1"/>
    <s v="Unique ID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n v="1"/>
    <s v="Unique ID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n v="1"/>
    <s v="Unique ID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n v="1"/>
    <s v="Unique ID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n v="1"/>
    <s v="Unique ID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n v="1"/>
    <s v="Unique ID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n v="1"/>
    <s v="Unique ID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n v="1"/>
    <s v="Unique ID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n v="1"/>
    <s v="Unique ID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n v="1"/>
    <s v="Unique ID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n v="1"/>
    <s v="Unique ID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n v="1"/>
    <s v="Unique ID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n v="1"/>
    <s v="Unique ID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n v="1"/>
    <s v="Unique ID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n v="1"/>
    <s v="Unique ID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n v="1"/>
    <s v="Unique ID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n v="1"/>
    <s v="Unique ID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n v="1"/>
    <s v="Unique ID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n v="1"/>
    <s v="Unique ID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n v="1"/>
    <s v="Unique ID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n v="1"/>
    <s v="Unique ID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n v="1"/>
    <s v="Unique ID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n v="1"/>
    <s v="Unique ID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n v="1"/>
    <s v="Unique ID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n v="1"/>
    <s v="Unique ID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n v="1"/>
    <s v="Unique ID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n v="1"/>
    <s v="Unique ID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n v="1"/>
    <s v="Unique ID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n v="1"/>
    <s v="Unique ID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n v="1"/>
    <s v="Unique ID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n v="1"/>
    <s v="Unique ID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n v="1"/>
    <s v="Unique ID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n v="1"/>
    <s v="Unique ID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n v="1"/>
    <s v="Unique ID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n v="1"/>
    <s v="Unique ID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n v="1"/>
    <s v="Unique ID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n v="1"/>
    <s v="Unique ID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n v="1"/>
    <s v="Unique ID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n v="1"/>
    <s v="Unique ID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n v="1"/>
    <s v="Unique ID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n v="1"/>
    <s v="Unique ID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n v="1"/>
    <s v="Unique ID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n v="1"/>
    <s v="Unique ID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n v="1"/>
    <s v="Unique ID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n v="1"/>
    <s v="Unique ID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n v="1"/>
    <s v="Unique ID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n v="1"/>
    <s v="Unique ID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n v="1"/>
    <s v="Unique ID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n v="1"/>
    <s v="Unique ID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n v="1"/>
    <s v="Unique ID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n v="1"/>
    <s v="Unique ID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n v="1"/>
    <s v="Unique ID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n v="1"/>
    <s v="Unique ID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n v="1"/>
    <s v="Unique ID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n v="1"/>
    <s v="Unique ID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n v="1"/>
    <s v="Unique ID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n v="1"/>
    <s v="Unique ID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n v="1"/>
    <s v="Unique ID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n v="1"/>
    <s v="Unique ID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  <s v="Duplicate ID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n v="1"/>
    <s v="Unique ID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n v="1"/>
    <s v="Unique ID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n v="1"/>
    <s v="Unique ID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n v="1"/>
    <s v="Unique ID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n v="1"/>
    <s v="Unique ID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n v="1"/>
    <s v="Unique ID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n v="1"/>
    <s v="Unique ID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n v="1"/>
    <s v="Unique ID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n v="1"/>
    <s v="Unique ID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n v="1"/>
    <s v="Unique ID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n v="1"/>
    <s v="Unique ID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n v="1"/>
    <s v="Unique ID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n v="1"/>
    <s v="Unique ID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n v="1"/>
    <s v="Unique ID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n v="1"/>
    <s v="Unique ID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n v="1"/>
    <s v="Unique ID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n v="1"/>
    <s v="Unique ID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n v="1"/>
    <s v="Unique ID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n v="1"/>
    <s v="Unique ID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n v="1"/>
    <s v="Unique ID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n v="1"/>
    <s v="Unique ID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  <s v="Duplicate ID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n v="1"/>
    <s v="Unique ID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n v="1"/>
    <s v="Unique ID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n v="1"/>
    <s v="Unique ID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n v="1"/>
    <s v="Unique ID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n v="1"/>
    <s v="Unique ID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n v="1"/>
    <s v="Unique ID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n v="1"/>
    <s v="Unique ID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n v="1"/>
    <s v="Unique ID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n v="1"/>
    <s v="Unique ID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n v="1"/>
    <s v="Unique ID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n v="1"/>
    <s v="Unique ID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n v="1"/>
    <s v="Unique ID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n v="1"/>
    <s v="Unique ID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n v="1"/>
    <s v="Unique ID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n v="1"/>
    <s v="Unique ID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n v="1"/>
    <s v="Unique ID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n v="1"/>
    <s v="Unique ID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n v="1"/>
    <s v="Unique ID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n v="1"/>
    <s v="Unique ID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n v="1"/>
    <s v="Unique ID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n v="1"/>
    <s v="Unique ID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n v="1"/>
    <s v="Unique ID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n v="1"/>
    <s v="Unique ID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n v="1"/>
    <s v="Unique ID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n v="1"/>
    <s v="Unique ID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n v="1"/>
    <s v="Unique ID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n v="1"/>
    <s v="Unique ID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n v="1"/>
    <s v="Unique ID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n v="1"/>
    <s v="Unique ID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n v="1"/>
    <s v="Unique ID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n v="1"/>
    <s v="Unique ID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n v="1"/>
    <s v="Unique ID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n v="1"/>
    <s v="Unique ID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n v="1"/>
    <s v="Unique ID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n v="1"/>
    <s v="Unique ID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n v="1"/>
    <s v="Unique ID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n v="1"/>
    <s v="Unique ID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n v="1"/>
    <s v="Unique ID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n v="1"/>
    <s v="Unique ID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n v="1"/>
    <s v="Unique ID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n v="1"/>
    <s v="Unique ID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n v="1"/>
    <s v="Unique ID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n v="1"/>
    <s v="Unique ID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n v="1"/>
    <s v="Unique ID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n v="1"/>
    <s v="Unique ID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n v="1"/>
    <s v="Unique ID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n v="1"/>
    <s v="Unique ID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n v="1"/>
    <s v="Unique ID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n v="1"/>
    <s v="Unique ID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n v="1"/>
    <s v="Unique ID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n v="1"/>
    <s v="Unique ID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n v="1"/>
    <s v="Unique ID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n v="1"/>
    <s v="Unique ID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n v="1"/>
    <s v="Unique ID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n v="1"/>
    <s v="Unique ID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n v="1"/>
    <s v="Unique ID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n v="1"/>
    <s v="Unique ID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n v="1"/>
    <s v="Unique ID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n v="1"/>
    <s v="Unique ID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n v="1"/>
    <s v="Unique ID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n v="1"/>
    <s v="Unique ID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n v="1"/>
    <s v="Unique ID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n v="1"/>
    <s v="Unique ID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n v="1"/>
    <s v="Unique ID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n v="1"/>
    <s v="Unique ID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n v="1"/>
    <s v="Unique ID"/>
  </r>
  <r>
    <s v="USR-101299"/>
    <d v="2025-05-17T00:00:00"/>
    <x v="1"/>
    <x v="1"/>
    <x v="1"/>
    <x v="1"/>
    <x v="1"/>
    <n v="0"/>
    <n v="0"/>
    <n v="0"/>
    <n v="0"/>
    <n v="0"/>
    <n v="3"/>
    <n v="0"/>
    <m/>
    <m/>
    <n v="1"/>
    <s v="Unique ID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n v="1"/>
    <s v="Unique ID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n v="1"/>
    <s v="Unique ID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n v="1"/>
    <s v="Unique ID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n v="1"/>
    <s v="Unique ID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n v="1"/>
    <s v="Unique ID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n v="1"/>
    <s v="Unique ID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n v="1"/>
    <s v="Unique ID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n v="1"/>
    <s v="Unique ID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n v="1"/>
    <s v="Unique ID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n v="1"/>
    <s v="Unique ID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n v="1"/>
    <s v="Unique ID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n v="1"/>
    <s v="Unique ID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n v="1"/>
    <s v="Unique ID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n v="1"/>
    <s v="Unique ID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n v="1"/>
    <s v="Unique ID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n v="1"/>
    <s v="Unique ID"/>
  </r>
  <r>
    <s v="USR-101316"/>
    <d v="2025-02-19T00:00:00"/>
    <x v="1"/>
    <x v="0"/>
    <x v="1"/>
    <x v="1"/>
    <x v="2"/>
    <n v="0"/>
    <n v="0"/>
    <n v="0"/>
    <n v="0"/>
    <n v="0"/>
    <n v="0"/>
    <n v="0"/>
    <m/>
    <m/>
    <n v="1"/>
    <s v="Unique ID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n v="1"/>
    <s v="Unique ID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n v="1"/>
    <s v="Unique ID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n v="1"/>
    <s v="Unique ID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n v="1"/>
    <s v="Unique ID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n v="1"/>
    <s v="Unique ID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n v="1"/>
    <s v="Unique ID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n v="1"/>
    <s v="Unique ID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n v="1"/>
    <s v="Unique ID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n v="1"/>
    <s v="Unique ID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n v="1"/>
    <s v="Unique ID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n v="1"/>
    <s v="Unique ID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n v="1"/>
    <s v="Unique ID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n v="1"/>
    <s v="Unique ID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n v="1"/>
    <s v="Unique ID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n v="1"/>
    <s v="Unique ID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n v="1"/>
    <s v="Unique ID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n v="1"/>
    <s v="Unique ID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n v="1"/>
    <s v="Unique ID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n v="1"/>
    <s v="Unique ID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n v="1"/>
    <s v="Unique ID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n v="1"/>
    <s v="Unique ID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n v="1"/>
    <s v="Unique ID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n v="1"/>
    <s v="Unique ID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n v="1"/>
    <s v="Unique ID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n v="1"/>
    <s v="Unique ID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n v="1"/>
    <s v="Unique ID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n v="1"/>
    <s v="Unique ID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n v="1"/>
    <s v="Unique ID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n v="1"/>
    <s v="Unique ID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n v="1"/>
    <s v="Unique ID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n v="1"/>
    <s v="Unique ID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n v="1"/>
    <s v="Unique ID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n v="1"/>
    <s v="Unique ID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n v="1"/>
    <s v="Unique ID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n v="1"/>
    <s v="Unique ID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n v="1"/>
    <s v="Unique ID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n v="1"/>
    <s v="Unique ID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n v="1"/>
    <s v="Unique ID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n v="1"/>
    <s v="Unique ID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n v="1"/>
    <s v="Unique ID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n v="1"/>
    <s v="Unique ID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n v="1"/>
    <s v="Unique ID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n v="1"/>
    <s v="Unique ID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n v="1"/>
    <s v="Unique ID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n v="1"/>
    <s v="Unique ID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  <s v="Duplicate ID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n v="1"/>
    <s v="Unique ID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n v="1"/>
    <s v="Unique ID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n v="1"/>
    <s v="Unique ID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n v="1"/>
    <s v="Unique ID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n v="1"/>
    <s v="Unique ID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n v="1"/>
    <s v="Unique ID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n v="1"/>
    <s v="Unique ID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n v="1"/>
    <s v="Unique ID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n v="1"/>
    <s v="Unique ID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n v="1"/>
    <s v="Unique ID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n v="1"/>
    <s v="Unique ID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n v="1"/>
    <s v="Unique ID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n v="1"/>
    <s v="Unique ID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n v="1"/>
    <s v="Unique ID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n v="1"/>
    <s v="Unique ID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n v="1"/>
    <s v="Unique ID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n v="1"/>
    <s v="Unique ID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n v="1"/>
    <s v="Unique ID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n v="1"/>
    <s v="Unique ID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n v="1"/>
    <s v="Unique ID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n v="1"/>
    <s v="Unique ID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n v="1"/>
    <s v="Unique ID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n v="1"/>
    <s v="Unique ID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n v="1"/>
    <s v="Unique ID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n v="1"/>
    <s v="Unique ID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n v="1"/>
    <s v="Unique ID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n v="1"/>
    <s v="Unique ID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n v="1"/>
    <s v="Unique ID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n v="1"/>
    <s v="Unique ID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n v="1"/>
    <s v="Unique ID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n v="1"/>
    <s v="Unique ID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n v="1"/>
    <s v="Unique ID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n v="1"/>
    <s v="Unique ID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n v="1"/>
    <s v="Unique ID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n v="1"/>
    <s v="Unique ID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n v="1"/>
    <s v="Unique ID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n v="1"/>
    <s v="Unique ID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n v="1"/>
    <s v="Unique ID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n v="2"/>
    <s v="Duplicate ID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n v="2"/>
    <s v="Duplicate ID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n v="2"/>
    <s v="Duplicate ID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n v="2"/>
    <s v="Duplicate ID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n v="2"/>
    <s v="Duplicate ID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n v="2"/>
    <s v="Duplicate ID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n v="2"/>
    <s v="Duplicate ID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n v="2"/>
    <s v="Duplicate 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29911-1763-4AEE-BE04-3DD6FD0521F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6">
    <pivotField dataField="1"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0CD26-7572-440E-ADD3-71D20AA1CCF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18">
    <pivotField dataField="1"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0E15C-C1FF-4F42-A969-6B1078FF0D2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8">
    <pivotField dataField="1" showAll="0"/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4A8BA-E0EE-47FD-BB1E-0771885208C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8">
    <pivotField dataField="1" showAll="0"/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00F8C-34CB-48B0-ACA3-4D7B21C9805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8">
    <pivotField dataField="1" showAll="0"/>
    <pivotField numFmtId="164"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F28D-2BD7-456D-8CEE-62ADCDBF5990}">
  <dimension ref="A1:W1409"/>
  <sheetViews>
    <sheetView workbookViewId="0">
      <selection activeCell="T8" sqref="T8"/>
    </sheetView>
  </sheetViews>
  <sheetFormatPr defaultRowHeight="14"/>
  <cols>
    <col min="1" max="16" width="16" customWidth="1"/>
    <col min="17" max="17" width="11.6640625" customWidth="1"/>
    <col min="18" max="18" width="15.75" customWidth="1"/>
    <col min="20" max="20" width="19.08203125" customWidth="1"/>
    <col min="21" max="21" width="25.33203125" customWidth="1"/>
    <col min="22" max="22" width="16.9140625" customWidth="1"/>
  </cols>
  <sheetData>
    <row r="1" spans="1:23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1454</v>
      </c>
      <c r="R1" s="1" t="s">
        <v>1455</v>
      </c>
      <c r="U1" s="6" t="s">
        <v>1457</v>
      </c>
      <c r="V1" s="6" t="s">
        <v>1458</v>
      </c>
    </row>
    <row r="2" spans="1:2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COUNTIF($A:$A,A2)</f>
        <v>1</v>
      </c>
      <c r="R2" t="str">
        <f>IF(Q2&gt;1,"Duplicate ID","Unique ID")</f>
        <v>Unique ID</v>
      </c>
      <c r="T2" t="s">
        <v>1456</v>
      </c>
      <c r="U2">
        <f>_xlfn.QUARTILE.INC(L2:L1409,1)</f>
        <v>0</v>
      </c>
      <c r="V2" t="str">
        <f>IF(OR(L2&lt;$U$5,L2&gt;$U$6),"Yes","No")</f>
        <v>No</v>
      </c>
    </row>
    <row r="3" spans="1:2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COUNTIF($A:$A,A3)</f>
        <v>1</v>
      </c>
      <c r="R3" t="str">
        <f t="shared" ref="R3:R66" si="1">IF(Q3&gt;1,"Duplicate ID","Unique ID")</f>
        <v>Unique ID</v>
      </c>
      <c r="T3">
        <f>COUNTIF(R2:R1409,"Duplicate ID")</f>
        <v>16</v>
      </c>
      <c r="U3">
        <f>_xlfn.QUARTILE.INC(L2:L1409,3)</f>
        <v>0</v>
      </c>
      <c r="V3" t="str">
        <f t="shared" ref="V3:V66" si="2">IF(OR(L3&lt;$U$5,L3&gt;$U$6),"Yes","No")</f>
        <v>No</v>
      </c>
      <c r="W3" t="s">
        <v>1459</v>
      </c>
    </row>
    <row r="4" spans="1:2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  <c r="R4" t="str">
        <f t="shared" si="1"/>
        <v>Unique ID</v>
      </c>
      <c r="U4">
        <f>U3-U2</f>
        <v>0</v>
      </c>
      <c r="V4" t="str">
        <f t="shared" si="2"/>
        <v>No</v>
      </c>
      <c r="W4">
        <f>COUNTIF(V2:V1409,"Yes")</f>
        <v>72</v>
      </c>
    </row>
    <row r="5" spans="1:2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  <c r="R5" t="str">
        <f t="shared" si="1"/>
        <v>Unique ID</v>
      </c>
      <c r="U5">
        <f>U2-1.5*U4</f>
        <v>0</v>
      </c>
      <c r="V5" t="str">
        <f t="shared" si="2"/>
        <v>No</v>
      </c>
    </row>
    <row r="6" spans="1:2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  <c r="R6" t="str">
        <f t="shared" si="1"/>
        <v>Unique ID</v>
      </c>
      <c r="U6">
        <f>U3+1.5*U4</f>
        <v>0</v>
      </c>
      <c r="V6" t="str">
        <f t="shared" si="2"/>
        <v>No</v>
      </c>
    </row>
    <row r="7" spans="1:2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  <c r="R7" t="str">
        <f t="shared" si="1"/>
        <v>Unique ID</v>
      </c>
      <c r="V7" t="str">
        <f t="shared" si="2"/>
        <v>No</v>
      </c>
    </row>
    <row r="8" spans="1:2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  <c r="R8" t="str">
        <f t="shared" si="1"/>
        <v>Unique ID</v>
      </c>
      <c r="V8" t="str">
        <f t="shared" si="2"/>
        <v>No</v>
      </c>
    </row>
    <row r="9" spans="1:2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  <c r="R9" t="str">
        <f t="shared" si="1"/>
        <v>Unique ID</v>
      </c>
      <c r="V9" t="str">
        <f t="shared" si="2"/>
        <v>No</v>
      </c>
    </row>
    <row r="10" spans="1:2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  <c r="R10" t="str">
        <f t="shared" si="1"/>
        <v>Unique ID</v>
      </c>
      <c r="V10" t="str">
        <f t="shared" si="2"/>
        <v>No</v>
      </c>
    </row>
    <row r="11" spans="1:2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  <c r="R11" t="str">
        <f t="shared" si="1"/>
        <v>Unique ID</v>
      </c>
      <c r="V11" t="str">
        <f t="shared" si="2"/>
        <v>No</v>
      </c>
    </row>
    <row r="12" spans="1:2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  <c r="R12" t="str">
        <f t="shared" si="1"/>
        <v>Unique ID</v>
      </c>
      <c r="V12" t="str">
        <f t="shared" si="2"/>
        <v>No</v>
      </c>
    </row>
    <row r="13" spans="1:2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  <c r="R13" t="str">
        <f t="shared" si="1"/>
        <v>Unique ID</v>
      </c>
      <c r="V13" t="str">
        <f t="shared" si="2"/>
        <v>No</v>
      </c>
    </row>
    <row r="14" spans="1:2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  <c r="R14" t="str">
        <f t="shared" si="1"/>
        <v>Unique ID</v>
      </c>
      <c r="V14" t="str">
        <f t="shared" si="2"/>
        <v>No</v>
      </c>
    </row>
    <row r="15" spans="1:2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  <c r="R15" t="str">
        <f t="shared" si="1"/>
        <v>Unique ID</v>
      </c>
      <c r="V15" t="str">
        <f t="shared" si="2"/>
        <v>No</v>
      </c>
    </row>
    <row r="16" spans="1:2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  <c r="R16" t="str">
        <f t="shared" si="1"/>
        <v>Unique ID</v>
      </c>
      <c r="V16" t="str">
        <f t="shared" si="2"/>
        <v>No</v>
      </c>
    </row>
    <row r="17" spans="1:22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  <c r="R17" t="str">
        <f t="shared" si="1"/>
        <v>Unique ID</v>
      </c>
      <c r="V17" t="str">
        <f t="shared" si="2"/>
        <v>No</v>
      </c>
    </row>
    <row r="18" spans="1:22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  <c r="R18" t="str">
        <f t="shared" si="1"/>
        <v>Unique ID</v>
      </c>
      <c r="V18" t="str">
        <f t="shared" si="2"/>
        <v>No</v>
      </c>
    </row>
    <row r="19" spans="1:22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  <c r="R19" t="str">
        <f t="shared" si="1"/>
        <v>Unique ID</v>
      </c>
      <c r="V19" t="str">
        <f t="shared" si="2"/>
        <v>No</v>
      </c>
    </row>
    <row r="20" spans="1:22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  <c r="R20" t="str">
        <f t="shared" si="1"/>
        <v>Unique ID</v>
      </c>
      <c r="V20" t="str">
        <f t="shared" si="2"/>
        <v>No</v>
      </c>
    </row>
    <row r="21" spans="1:22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  <c r="R21" t="str">
        <f t="shared" si="1"/>
        <v>Unique ID</v>
      </c>
      <c r="V21" t="str">
        <f t="shared" si="2"/>
        <v>No</v>
      </c>
    </row>
    <row r="22" spans="1:22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  <c r="R22" t="str">
        <f t="shared" si="1"/>
        <v>Unique ID</v>
      </c>
      <c r="V22" t="str">
        <f t="shared" si="2"/>
        <v>No</v>
      </c>
    </row>
    <row r="23" spans="1:22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  <c r="R23" t="str">
        <f t="shared" si="1"/>
        <v>Unique ID</v>
      </c>
      <c r="V23" t="str">
        <f t="shared" si="2"/>
        <v>No</v>
      </c>
    </row>
    <row r="24" spans="1:22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  <c r="R24" t="str">
        <f t="shared" si="1"/>
        <v>Unique ID</v>
      </c>
      <c r="V24" t="str">
        <f t="shared" si="2"/>
        <v>No</v>
      </c>
    </row>
    <row r="25" spans="1:22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  <c r="R25" t="str">
        <f t="shared" si="1"/>
        <v>Unique ID</v>
      </c>
      <c r="V25" t="str">
        <f t="shared" si="2"/>
        <v>No</v>
      </c>
    </row>
    <row r="26" spans="1:22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  <c r="R26" t="str">
        <f t="shared" si="1"/>
        <v>Unique ID</v>
      </c>
      <c r="V26" t="str">
        <f t="shared" si="2"/>
        <v>No</v>
      </c>
    </row>
    <row r="27" spans="1:22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  <c r="R27" t="str">
        <f t="shared" si="1"/>
        <v>Unique ID</v>
      </c>
      <c r="V27" t="str">
        <f t="shared" si="2"/>
        <v>No</v>
      </c>
    </row>
    <row r="28" spans="1:22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  <c r="R28" t="str">
        <f t="shared" si="1"/>
        <v>Unique ID</v>
      </c>
      <c r="V28" t="str">
        <f t="shared" si="2"/>
        <v>No</v>
      </c>
    </row>
    <row r="29" spans="1:22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  <c r="R29" t="str">
        <f t="shared" si="1"/>
        <v>Unique ID</v>
      </c>
      <c r="V29" t="str">
        <f t="shared" si="2"/>
        <v>No</v>
      </c>
    </row>
    <row r="30" spans="1:22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  <c r="R30" t="str">
        <f t="shared" si="1"/>
        <v>Unique ID</v>
      </c>
      <c r="V30" t="str">
        <f t="shared" si="2"/>
        <v>No</v>
      </c>
    </row>
    <row r="31" spans="1:22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  <c r="R31" t="str">
        <f t="shared" si="1"/>
        <v>Unique ID</v>
      </c>
      <c r="V31" t="str">
        <f t="shared" si="2"/>
        <v>No</v>
      </c>
    </row>
    <row r="32" spans="1:22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  <c r="R32" t="str">
        <f t="shared" si="1"/>
        <v>Unique ID</v>
      </c>
      <c r="V32" t="str">
        <f t="shared" si="2"/>
        <v>No</v>
      </c>
    </row>
    <row r="33" spans="1:22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  <c r="R33" t="str">
        <f t="shared" si="1"/>
        <v>Unique ID</v>
      </c>
      <c r="V33" t="str">
        <f t="shared" si="2"/>
        <v>No</v>
      </c>
    </row>
    <row r="34" spans="1:22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  <c r="R34" t="str">
        <f t="shared" si="1"/>
        <v>Unique ID</v>
      </c>
      <c r="V34" t="str">
        <f t="shared" si="2"/>
        <v>No</v>
      </c>
    </row>
    <row r="35" spans="1:22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  <c r="R35" t="str">
        <f t="shared" si="1"/>
        <v>Unique ID</v>
      </c>
      <c r="V35" t="str">
        <f t="shared" si="2"/>
        <v>No</v>
      </c>
    </row>
    <row r="36" spans="1:22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  <c r="R36" t="str">
        <f t="shared" si="1"/>
        <v>Unique ID</v>
      </c>
      <c r="V36" t="str">
        <f t="shared" si="2"/>
        <v>No</v>
      </c>
    </row>
    <row r="37" spans="1:22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  <c r="R37" t="str">
        <f t="shared" si="1"/>
        <v>Unique ID</v>
      </c>
      <c r="V37" t="str">
        <f t="shared" si="2"/>
        <v>No</v>
      </c>
    </row>
    <row r="38" spans="1:22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  <c r="R38" t="str">
        <f t="shared" si="1"/>
        <v>Unique ID</v>
      </c>
      <c r="V38" t="str">
        <f t="shared" si="2"/>
        <v>No</v>
      </c>
    </row>
    <row r="39" spans="1:22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  <c r="R39" t="str">
        <f t="shared" si="1"/>
        <v>Unique ID</v>
      </c>
      <c r="V39" t="str">
        <f t="shared" si="2"/>
        <v>No</v>
      </c>
    </row>
    <row r="40" spans="1:22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  <c r="R40" t="str">
        <f t="shared" si="1"/>
        <v>Unique ID</v>
      </c>
      <c r="V40" t="str">
        <f t="shared" si="2"/>
        <v>No</v>
      </c>
    </row>
    <row r="41" spans="1:22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  <c r="R41" t="str">
        <f t="shared" si="1"/>
        <v>Unique ID</v>
      </c>
      <c r="V41" t="str">
        <f t="shared" si="2"/>
        <v>No</v>
      </c>
    </row>
    <row r="42" spans="1:22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  <c r="R42" t="str">
        <f t="shared" si="1"/>
        <v>Unique ID</v>
      </c>
      <c r="V42" t="str">
        <f t="shared" si="2"/>
        <v>No</v>
      </c>
    </row>
    <row r="43" spans="1:22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  <c r="R43" t="str">
        <f t="shared" si="1"/>
        <v>Unique ID</v>
      </c>
      <c r="V43" t="str">
        <f t="shared" si="2"/>
        <v>No</v>
      </c>
    </row>
    <row r="44" spans="1:22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  <c r="R44" t="str">
        <f t="shared" si="1"/>
        <v>Unique ID</v>
      </c>
      <c r="V44" t="str">
        <f t="shared" si="2"/>
        <v>No</v>
      </c>
    </row>
    <row r="45" spans="1:22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  <c r="R45" t="str">
        <f t="shared" si="1"/>
        <v>Unique ID</v>
      </c>
      <c r="V45" t="str">
        <f t="shared" si="2"/>
        <v>No</v>
      </c>
    </row>
    <row r="46" spans="1:22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  <c r="R46" t="str">
        <f t="shared" si="1"/>
        <v>Unique ID</v>
      </c>
      <c r="V46" t="str">
        <f t="shared" si="2"/>
        <v>No</v>
      </c>
    </row>
    <row r="47" spans="1:22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  <c r="R47" t="str">
        <f t="shared" si="1"/>
        <v>Unique ID</v>
      </c>
      <c r="V47" t="str">
        <f t="shared" si="2"/>
        <v>No</v>
      </c>
    </row>
    <row r="48" spans="1:22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  <c r="R48" t="str">
        <f t="shared" si="1"/>
        <v>Unique ID</v>
      </c>
      <c r="V48" t="str">
        <f t="shared" si="2"/>
        <v>No</v>
      </c>
    </row>
    <row r="49" spans="1:22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  <c r="R49" t="str">
        <f t="shared" si="1"/>
        <v>Unique ID</v>
      </c>
      <c r="V49" t="str">
        <f t="shared" si="2"/>
        <v>No</v>
      </c>
    </row>
    <row r="50" spans="1:22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  <c r="R50" t="str">
        <f t="shared" si="1"/>
        <v>Unique ID</v>
      </c>
      <c r="V50" t="str">
        <f t="shared" si="2"/>
        <v>No</v>
      </c>
    </row>
    <row r="51" spans="1:22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  <c r="R51" t="str">
        <f t="shared" si="1"/>
        <v>Unique ID</v>
      </c>
      <c r="V51" t="str">
        <f t="shared" si="2"/>
        <v>No</v>
      </c>
    </row>
    <row r="52" spans="1:22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  <c r="R52" t="str">
        <f t="shared" si="1"/>
        <v>Unique ID</v>
      </c>
      <c r="V52" t="str">
        <f t="shared" si="2"/>
        <v>No</v>
      </c>
    </row>
    <row r="53" spans="1:22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  <c r="R53" t="str">
        <f t="shared" si="1"/>
        <v>Unique ID</v>
      </c>
      <c r="V53" t="str">
        <f t="shared" si="2"/>
        <v>No</v>
      </c>
    </row>
    <row r="54" spans="1:22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  <c r="R54" t="str">
        <f t="shared" si="1"/>
        <v>Unique ID</v>
      </c>
      <c r="V54" t="str">
        <f t="shared" si="2"/>
        <v>No</v>
      </c>
    </row>
    <row r="55" spans="1:22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  <c r="R55" t="str">
        <f t="shared" si="1"/>
        <v>Unique ID</v>
      </c>
      <c r="V55" t="str">
        <f t="shared" si="2"/>
        <v>No</v>
      </c>
    </row>
    <row r="56" spans="1:22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  <c r="R56" t="str">
        <f t="shared" si="1"/>
        <v>Unique ID</v>
      </c>
      <c r="V56" t="str">
        <f t="shared" si="2"/>
        <v>No</v>
      </c>
    </row>
    <row r="57" spans="1:22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  <c r="R57" t="str">
        <f t="shared" si="1"/>
        <v>Unique ID</v>
      </c>
      <c r="V57" t="str">
        <f t="shared" si="2"/>
        <v>No</v>
      </c>
    </row>
    <row r="58" spans="1:22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  <c r="R58" t="str">
        <f t="shared" si="1"/>
        <v>Unique ID</v>
      </c>
      <c r="V58" t="str">
        <f t="shared" si="2"/>
        <v>No</v>
      </c>
    </row>
    <row r="59" spans="1:22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  <c r="R59" t="str">
        <f t="shared" si="1"/>
        <v>Unique ID</v>
      </c>
      <c r="V59" t="str">
        <f t="shared" si="2"/>
        <v>No</v>
      </c>
    </row>
    <row r="60" spans="1:22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  <c r="R60" t="str">
        <f t="shared" si="1"/>
        <v>Unique ID</v>
      </c>
      <c r="V60" t="str">
        <f t="shared" si="2"/>
        <v>No</v>
      </c>
    </row>
    <row r="61" spans="1:22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 t="str">
        <f t="shared" si="1"/>
        <v>Unique ID</v>
      </c>
      <c r="V61" t="str">
        <f t="shared" si="2"/>
        <v>Yes</v>
      </c>
    </row>
    <row r="62" spans="1:22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  <c r="R62" t="str">
        <f t="shared" si="1"/>
        <v>Unique ID</v>
      </c>
      <c r="V62" t="str">
        <f t="shared" si="2"/>
        <v>No</v>
      </c>
    </row>
    <row r="63" spans="1:22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  <c r="R63" t="str">
        <f t="shared" si="1"/>
        <v>Unique ID</v>
      </c>
      <c r="V63" t="str">
        <f t="shared" si="2"/>
        <v>No</v>
      </c>
    </row>
    <row r="64" spans="1:22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  <c r="R64" t="str">
        <f t="shared" si="1"/>
        <v>Unique ID</v>
      </c>
      <c r="V64" t="str">
        <f t="shared" si="2"/>
        <v>No</v>
      </c>
    </row>
    <row r="65" spans="1:22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  <c r="R65" t="str">
        <f t="shared" si="1"/>
        <v>Unique ID</v>
      </c>
      <c r="V65" t="str">
        <f t="shared" si="2"/>
        <v>No</v>
      </c>
    </row>
    <row r="66" spans="1:22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1</v>
      </c>
      <c r="R66" t="str">
        <f t="shared" si="1"/>
        <v>Unique ID</v>
      </c>
      <c r="V66" t="str">
        <f t="shared" si="2"/>
        <v>No</v>
      </c>
    </row>
    <row r="67" spans="1:22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3">COUNTIF($A:$A,A67)</f>
        <v>1</v>
      </c>
      <c r="R67" t="str">
        <f t="shared" ref="R67:R130" si="4">IF(Q67&gt;1,"Duplicate ID","Unique ID")</f>
        <v>Unique ID</v>
      </c>
      <c r="V67" t="str">
        <f t="shared" ref="V67:V130" si="5">IF(OR(L67&lt;$U$5,L67&gt;$U$6),"Yes","No")</f>
        <v>No</v>
      </c>
    </row>
    <row r="68" spans="1:22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3"/>
        <v>1</v>
      </c>
      <c r="R68" t="str">
        <f t="shared" si="4"/>
        <v>Unique ID</v>
      </c>
      <c r="V68" t="str">
        <f t="shared" si="5"/>
        <v>No</v>
      </c>
    </row>
    <row r="69" spans="1:22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3"/>
        <v>1</v>
      </c>
      <c r="R69" t="str">
        <f t="shared" si="4"/>
        <v>Unique ID</v>
      </c>
      <c r="V69" t="str">
        <f t="shared" si="5"/>
        <v>No</v>
      </c>
    </row>
    <row r="70" spans="1:22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3"/>
        <v>1</v>
      </c>
      <c r="R70" t="str">
        <f t="shared" si="4"/>
        <v>Unique ID</v>
      </c>
      <c r="V70" t="str">
        <f t="shared" si="5"/>
        <v>No</v>
      </c>
    </row>
    <row r="71" spans="1:22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3"/>
        <v>1</v>
      </c>
      <c r="R71" t="str">
        <f t="shared" si="4"/>
        <v>Unique ID</v>
      </c>
      <c r="V71" t="str">
        <f t="shared" si="5"/>
        <v>No</v>
      </c>
    </row>
    <row r="72" spans="1:22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3"/>
        <v>1</v>
      </c>
      <c r="R72" t="str">
        <f t="shared" si="4"/>
        <v>Unique ID</v>
      </c>
      <c r="V72" t="str">
        <f t="shared" si="5"/>
        <v>No</v>
      </c>
    </row>
    <row r="73" spans="1:22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3"/>
        <v>1</v>
      </c>
      <c r="R73" t="str">
        <f t="shared" si="4"/>
        <v>Unique ID</v>
      </c>
      <c r="V73" t="str">
        <f t="shared" si="5"/>
        <v>No</v>
      </c>
    </row>
    <row r="74" spans="1:22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3"/>
        <v>1</v>
      </c>
      <c r="R74" t="str">
        <f t="shared" si="4"/>
        <v>Unique ID</v>
      </c>
      <c r="V74" t="str">
        <f t="shared" si="5"/>
        <v>No</v>
      </c>
    </row>
    <row r="75" spans="1:22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3"/>
        <v>1</v>
      </c>
      <c r="R75" t="str">
        <f t="shared" si="4"/>
        <v>Unique ID</v>
      </c>
      <c r="V75" t="str">
        <f t="shared" si="5"/>
        <v>No</v>
      </c>
    </row>
    <row r="76" spans="1:22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3"/>
        <v>1</v>
      </c>
      <c r="R76" t="str">
        <f t="shared" si="4"/>
        <v>Unique ID</v>
      </c>
      <c r="V76" t="str">
        <f t="shared" si="5"/>
        <v>No</v>
      </c>
    </row>
    <row r="77" spans="1:22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3"/>
        <v>1</v>
      </c>
      <c r="R77" t="str">
        <f t="shared" si="4"/>
        <v>Unique ID</v>
      </c>
      <c r="V77" t="str">
        <f t="shared" si="5"/>
        <v>No</v>
      </c>
    </row>
    <row r="78" spans="1:22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3"/>
        <v>1</v>
      </c>
      <c r="R78" t="str">
        <f t="shared" si="4"/>
        <v>Unique ID</v>
      </c>
      <c r="V78" t="str">
        <f t="shared" si="5"/>
        <v>No</v>
      </c>
    </row>
    <row r="79" spans="1:22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3"/>
        <v>1</v>
      </c>
      <c r="R79" t="str">
        <f t="shared" si="4"/>
        <v>Unique ID</v>
      </c>
      <c r="V79" t="str">
        <f t="shared" si="5"/>
        <v>No</v>
      </c>
    </row>
    <row r="80" spans="1:22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3"/>
        <v>1</v>
      </c>
      <c r="R80" t="str">
        <f t="shared" si="4"/>
        <v>Unique ID</v>
      </c>
      <c r="V80" t="str">
        <f t="shared" si="5"/>
        <v>Yes</v>
      </c>
    </row>
    <row r="81" spans="1:22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3"/>
        <v>1</v>
      </c>
      <c r="R81" t="str">
        <f t="shared" si="4"/>
        <v>Unique ID</v>
      </c>
      <c r="V81" t="str">
        <f t="shared" si="5"/>
        <v>No</v>
      </c>
    </row>
    <row r="82" spans="1:22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3"/>
        <v>1</v>
      </c>
      <c r="R82" t="str">
        <f t="shared" si="4"/>
        <v>Unique ID</v>
      </c>
      <c r="V82" t="str">
        <f t="shared" si="5"/>
        <v>No</v>
      </c>
    </row>
    <row r="83" spans="1:22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3"/>
        <v>1</v>
      </c>
      <c r="R83" t="str">
        <f t="shared" si="4"/>
        <v>Unique ID</v>
      </c>
      <c r="V83" t="str">
        <f t="shared" si="5"/>
        <v>No</v>
      </c>
    </row>
    <row r="84" spans="1:22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3"/>
        <v>1</v>
      </c>
      <c r="R84" t="str">
        <f t="shared" si="4"/>
        <v>Unique ID</v>
      </c>
      <c r="V84" t="str">
        <f t="shared" si="5"/>
        <v>No</v>
      </c>
    </row>
    <row r="85" spans="1:22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3"/>
        <v>1</v>
      </c>
      <c r="R85" t="str">
        <f t="shared" si="4"/>
        <v>Unique ID</v>
      </c>
      <c r="V85" t="str">
        <f t="shared" si="5"/>
        <v>No</v>
      </c>
    </row>
    <row r="86" spans="1:22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3"/>
        <v>1</v>
      </c>
      <c r="R86" t="str">
        <f t="shared" si="4"/>
        <v>Unique ID</v>
      </c>
      <c r="V86" t="str">
        <f t="shared" si="5"/>
        <v>No</v>
      </c>
    </row>
    <row r="87" spans="1:22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3"/>
        <v>1</v>
      </c>
      <c r="R87" t="str">
        <f t="shared" si="4"/>
        <v>Unique ID</v>
      </c>
      <c r="V87" t="str">
        <f t="shared" si="5"/>
        <v>No</v>
      </c>
    </row>
    <row r="88" spans="1:22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3"/>
        <v>1</v>
      </c>
      <c r="R88" t="str">
        <f t="shared" si="4"/>
        <v>Unique ID</v>
      </c>
      <c r="V88" t="str">
        <f t="shared" si="5"/>
        <v>No</v>
      </c>
    </row>
    <row r="89" spans="1:22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3"/>
        <v>1</v>
      </c>
      <c r="R89" t="str">
        <f t="shared" si="4"/>
        <v>Unique ID</v>
      </c>
      <c r="V89" t="str">
        <f t="shared" si="5"/>
        <v>No</v>
      </c>
    </row>
    <row r="90" spans="1:22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3"/>
        <v>1</v>
      </c>
      <c r="R90" t="str">
        <f t="shared" si="4"/>
        <v>Unique ID</v>
      </c>
      <c r="V90" t="str">
        <f t="shared" si="5"/>
        <v>No</v>
      </c>
    </row>
    <row r="91" spans="1:22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3"/>
        <v>1</v>
      </c>
      <c r="R91" t="str">
        <f t="shared" si="4"/>
        <v>Unique ID</v>
      </c>
      <c r="V91" t="str">
        <f t="shared" si="5"/>
        <v>No</v>
      </c>
    </row>
    <row r="92" spans="1:22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3"/>
        <v>1</v>
      </c>
      <c r="R92" t="str">
        <f t="shared" si="4"/>
        <v>Unique ID</v>
      </c>
      <c r="V92" t="str">
        <f t="shared" si="5"/>
        <v>No</v>
      </c>
    </row>
    <row r="93" spans="1:22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3"/>
        <v>1</v>
      </c>
      <c r="R93" t="str">
        <f t="shared" si="4"/>
        <v>Unique ID</v>
      </c>
      <c r="V93" t="str">
        <f t="shared" si="5"/>
        <v>No</v>
      </c>
    </row>
    <row r="94" spans="1:22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3"/>
        <v>1</v>
      </c>
      <c r="R94" t="str">
        <f t="shared" si="4"/>
        <v>Unique ID</v>
      </c>
      <c r="V94" t="str">
        <f t="shared" si="5"/>
        <v>No</v>
      </c>
    </row>
    <row r="95" spans="1:22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3"/>
        <v>1</v>
      </c>
      <c r="R95" t="str">
        <f t="shared" si="4"/>
        <v>Unique ID</v>
      </c>
      <c r="V95" t="str">
        <f t="shared" si="5"/>
        <v>No</v>
      </c>
    </row>
    <row r="96" spans="1:22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3"/>
        <v>1</v>
      </c>
      <c r="R96" t="str">
        <f t="shared" si="4"/>
        <v>Unique ID</v>
      </c>
      <c r="V96" t="str">
        <f t="shared" si="5"/>
        <v>No</v>
      </c>
    </row>
    <row r="97" spans="1:22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3"/>
        <v>2</v>
      </c>
      <c r="R97" t="str">
        <f t="shared" si="4"/>
        <v>Duplicate ID</v>
      </c>
      <c r="V97" t="str">
        <f t="shared" si="5"/>
        <v>No</v>
      </c>
    </row>
    <row r="98" spans="1:22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3"/>
        <v>1</v>
      </c>
      <c r="R98" t="str">
        <f t="shared" si="4"/>
        <v>Unique ID</v>
      </c>
      <c r="V98" t="str">
        <f t="shared" si="5"/>
        <v>No</v>
      </c>
    </row>
    <row r="99" spans="1:22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3"/>
        <v>1</v>
      </c>
      <c r="R99" t="str">
        <f t="shared" si="4"/>
        <v>Unique ID</v>
      </c>
      <c r="V99" t="str">
        <f t="shared" si="5"/>
        <v>No</v>
      </c>
    </row>
    <row r="100" spans="1:22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3"/>
        <v>1</v>
      </c>
      <c r="R100" t="str">
        <f t="shared" si="4"/>
        <v>Unique ID</v>
      </c>
      <c r="V100" t="str">
        <f t="shared" si="5"/>
        <v>Yes</v>
      </c>
    </row>
    <row r="101" spans="1:22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3"/>
        <v>1</v>
      </c>
      <c r="R101" t="str">
        <f t="shared" si="4"/>
        <v>Unique ID</v>
      </c>
      <c r="V101" t="str">
        <f t="shared" si="5"/>
        <v>No</v>
      </c>
    </row>
    <row r="102" spans="1:22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3"/>
        <v>1</v>
      </c>
      <c r="R102" t="str">
        <f t="shared" si="4"/>
        <v>Unique ID</v>
      </c>
      <c r="V102" t="str">
        <f t="shared" si="5"/>
        <v>No</v>
      </c>
    </row>
    <row r="103" spans="1:22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3"/>
        <v>1</v>
      </c>
      <c r="R103" t="str">
        <f t="shared" si="4"/>
        <v>Unique ID</v>
      </c>
      <c r="V103" t="str">
        <f t="shared" si="5"/>
        <v>No</v>
      </c>
    </row>
    <row r="104" spans="1:22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3"/>
        <v>1</v>
      </c>
      <c r="R104" t="str">
        <f t="shared" si="4"/>
        <v>Unique ID</v>
      </c>
      <c r="V104" t="str">
        <f t="shared" si="5"/>
        <v>Yes</v>
      </c>
    </row>
    <row r="105" spans="1:22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3"/>
        <v>1</v>
      </c>
      <c r="R105" t="str">
        <f t="shared" si="4"/>
        <v>Unique ID</v>
      </c>
      <c r="V105" t="str">
        <f t="shared" si="5"/>
        <v>No</v>
      </c>
    </row>
    <row r="106" spans="1:22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3"/>
        <v>1</v>
      </c>
      <c r="R106" t="str">
        <f t="shared" si="4"/>
        <v>Unique ID</v>
      </c>
      <c r="V106" t="str">
        <f t="shared" si="5"/>
        <v>No</v>
      </c>
    </row>
    <row r="107" spans="1:22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3"/>
        <v>1</v>
      </c>
      <c r="R107" t="str">
        <f t="shared" si="4"/>
        <v>Unique ID</v>
      </c>
      <c r="V107" t="str">
        <f t="shared" si="5"/>
        <v>Yes</v>
      </c>
    </row>
    <row r="108" spans="1:22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3"/>
        <v>1</v>
      </c>
      <c r="R108" t="str">
        <f t="shared" si="4"/>
        <v>Unique ID</v>
      </c>
      <c r="V108" t="str">
        <f t="shared" si="5"/>
        <v>No</v>
      </c>
    </row>
    <row r="109" spans="1:22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3"/>
        <v>1</v>
      </c>
      <c r="R109" t="str">
        <f t="shared" si="4"/>
        <v>Unique ID</v>
      </c>
      <c r="V109" t="str">
        <f t="shared" si="5"/>
        <v>No</v>
      </c>
    </row>
    <row r="110" spans="1:22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3"/>
        <v>1</v>
      </c>
      <c r="R110" t="str">
        <f t="shared" si="4"/>
        <v>Unique ID</v>
      </c>
      <c r="V110" t="str">
        <f t="shared" si="5"/>
        <v>No</v>
      </c>
    </row>
    <row r="111" spans="1:22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3"/>
        <v>1</v>
      </c>
      <c r="R111" t="str">
        <f t="shared" si="4"/>
        <v>Unique ID</v>
      </c>
      <c r="V111" t="str">
        <f t="shared" si="5"/>
        <v>No</v>
      </c>
    </row>
    <row r="112" spans="1:22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3"/>
        <v>1</v>
      </c>
      <c r="R112" t="str">
        <f t="shared" si="4"/>
        <v>Unique ID</v>
      </c>
      <c r="V112" t="str">
        <f t="shared" si="5"/>
        <v>No</v>
      </c>
    </row>
    <row r="113" spans="1:22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3"/>
        <v>1</v>
      </c>
      <c r="R113" t="str">
        <f t="shared" si="4"/>
        <v>Unique ID</v>
      </c>
      <c r="V113" t="str">
        <f t="shared" si="5"/>
        <v>No</v>
      </c>
    </row>
    <row r="114" spans="1:22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3"/>
        <v>1</v>
      </c>
      <c r="R114" t="str">
        <f t="shared" si="4"/>
        <v>Unique ID</v>
      </c>
      <c r="V114" t="str">
        <f t="shared" si="5"/>
        <v>No</v>
      </c>
    </row>
    <row r="115" spans="1:22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3"/>
        <v>1</v>
      </c>
      <c r="R115" t="str">
        <f t="shared" si="4"/>
        <v>Unique ID</v>
      </c>
      <c r="V115" t="str">
        <f t="shared" si="5"/>
        <v>No</v>
      </c>
    </row>
    <row r="116" spans="1:22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3"/>
        <v>1</v>
      </c>
      <c r="R116" t="str">
        <f t="shared" si="4"/>
        <v>Unique ID</v>
      </c>
      <c r="V116" t="str">
        <f t="shared" si="5"/>
        <v>No</v>
      </c>
    </row>
    <row r="117" spans="1:22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3"/>
        <v>1</v>
      </c>
      <c r="R117" t="str">
        <f t="shared" si="4"/>
        <v>Unique ID</v>
      </c>
      <c r="V117" t="str">
        <f t="shared" si="5"/>
        <v>No</v>
      </c>
    </row>
    <row r="118" spans="1:22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3"/>
        <v>1</v>
      </c>
      <c r="R118" t="str">
        <f t="shared" si="4"/>
        <v>Unique ID</v>
      </c>
      <c r="V118" t="str">
        <f t="shared" si="5"/>
        <v>No</v>
      </c>
    </row>
    <row r="119" spans="1:22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3"/>
        <v>1</v>
      </c>
      <c r="R119" t="str">
        <f t="shared" si="4"/>
        <v>Unique ID</v>
      </c>
      <c r="V119" t="str">
        <f t="shared" si="5"/>
        <v>No</v>
      </c>
    </row>
    <row r="120" spans="1:22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3"/>
        <v>1</v>
      </c>
      <c r="R120" t="str">
        <f t="shared" si="4"/>
        <v>Unique ID</v>
      </c>
      <c r="V120" t="str">
        <f t="shared" si="5"/>
        <v>No</v>
      </c>
    </row>
    <row r="121" spans="1:22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3"/>
        <v>1</v>
      </c>
      <c r="R121" t="str">
        <f t="shared" si="4"/>
        <v>Unique ID</v>
      </c>
      <c r="V121" t="str">
        <f t="shared" si="5"/>
        <v>No</v>
      </c>
    </row>
    <row r="122" spans="1:22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3"/>
        <v>1</v>
      </c>
      <c r="R122" t="str">
        <f t="shared" si="4"/>
        <v>Unique ID</v>
      </c>
      <c r="V122" t="str">
        <f t="shared" si="5"/>
        <v>No</v>
      </c>
    </row>
    <row r="123" spans="1:22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3"/>
        <v>1</v>
      </c>
      <c r="R123" t="str">
        <f t="shared" si="4"/>
        <v>Unique ID</v>
      </c>
      <c r="V123" t="str">
        <f t="shared" si="5"/>
        <v>No</v>
      </c>
    </row>
    <row r="124" spans="1:22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3"/>
        <v>1</v>
      </c>
      <c r="R124" t="str">
        <f t="shared" si="4"/>
        <v>Unique ID</v>
      </c>
      <c r="V124" t="str">
        <f t="shared" si="5"/>
        <v>No</v>
      </c>
    </row>
    <row r="125" spans="1:22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3"/>
        <v>1</v>
      </c>
      <c r="R125" t="str">
        <f t="shared" si="4"/>
        <v>Unique ID</v>
      </c>
      <c r="V125" t="str">
        <f t="shared" si="5"/>
        <v>No</v>
      </c>
    </row>
    <row r="126" spans="1:22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3"/>
        <v>1</v>
      </c>
      <c r="R126" t="str">
        <f t="shared" si="4"/>
        <v>Unique ID</v>
      </c>
      <c r="V126" t="str">
        <f t="shared" si="5"/>
        <v>No</v>
      </c>
    </row>
    <row r="127" spans="1:22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3"/>
        <v>1</v>
      </c>
      <c r="R127" t="str">
        <f t="shared" si="4"/>
        <v>Unique ID</v>
      </c>
      <c r="V127" t="str">
        <f t="shared" si="5"/>
        <v>No</v>
      </c>
    </row>
    <row r="128" spans="1:22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3"/>
        <v>1</v>
      </c>
      <c r="R128" t="str">
        <f t="shared" si="4"/>
        <v>Unique ID</v>
      </c>
      <c r="V128" t="str">
        <f t="shared" si="5"/>
        <v>No</v>
      </c>
    </row>
    <row r="129" spans="1:22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3"/>
        <v>1</v>
      </c>
      <c r="R129" t="str">
        <f t="shared" si="4"/>
        <v>Unique ID</v>
      </c>
      <c r="V129" t="str">
        <f t="shared" si="5"/>
        <v>No</v>
      </c>
    </row>
    <row r="130" spans="1:22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3"/>
        <v>1</v>
      </c>
      <c r="R130" t="str">
        <f t="shared" si="4"/>
        <v>Unique ID</v>
      </c>
      <c r="V130" t="str">
        <f t="shared" si="5"/>
        <v>No</v>
      </c>
    </row>
    <row r="131" spans="1:22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6">COUNTIF($A:$A,A131)</f>
        <v>1</v>
      </c>
      <c r="R131" t="str">
        <f t="shared" ref="R131:R194" si="7">IF(Q131&gt;1,"Duplicate ID","Unique ID")</f>
        <v>Unique ID</v>
      </c>
      <c r="V131" t="str">
        <f t="shared" ref="V131:V194" si="8">IF(OR(L131&lt;$U$5,L131&gt;$U$6),"Yes","No")</f>
        <v>No</v>
      </c>
    </row>
    <row r="132" spans="1:22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6"/>
        <v>1</v>
      </c>
      <c r="R132" t="str">
        <f t="shared" si="7"/>
        <v>Unique ID</v>
      </c>
      <c r="V132" t="str">
        <f t="shared" si="8"/>
        <v>No</v>
      </c>
    </row>
    <row r="133" spans="1:22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6"/>
        <v>1</v>
      </c>
      <c r="R133" t="str">
        <f t="shared" si="7"/>
        <v>Unique ID</v>
      </c>
      <c r="V133" t="str">
        <f t="shared" si="8"/>
        <v>No</v>
      </c>
    </row>
    <row r="134" spans="1:22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6"/>
        <v>1</v>
      </c>
      <c r="R134" t="str">
        <f t="shared" si="7"/>
        <v>Unique ID</v>
      </c>
      <c r="V134" t="str">
        <f t="shared" si="8"/>
        <v>No</v>
      </c>
    </row>
    <row r="135" spans="1:22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6"/>
        <v>1</v>
      </c>
      <c r="R135" t="str">
        <f t="shared" si="7"/>
        <v>Unique ID</v>
      </c>
      <c r="V135" t="str">
        <f t="shared" si="8"/>
        <v>No</v>
      </c>
    </row>
    <row r="136" spans="1:22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6"/>
        <v>1</v>
      </c>
      <c r="R136" t="str">
        <f t="shared" si="7"/>
        <v>Unique ID</v>
      </c>
      <c r="V136" t="str">
        <f t="shared" si="8"/>
        <v>No</v>
      </c>
    </row>
    <row r="137" spans="1:22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6"/>
        <v>1</v>
      </c>
      <c r="R137" t="str">
        <f t="shared" si="7"/>
        <v>Unique ID</v>
      </c>
      <c r="V137" t="str">
        <f t="shared" si="8"/>
        <v>No</v>
      </c>
    </row>
    <row r="138" spans="1:22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6"/>
        <v>1</v>
      </c>
      <c r="R138" t="str">
        <f t="shared" si="7"/>
        <v>Unique ID</v>
      </c>
      <c r="V138" t="str">
        <f t="shared" si="8"/>
        <v>No</v>
      </c>
    </row>
    <row r="139" spans="1:22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6"/>
        <v>1</v>
      </c>
      <c r="R139" t="str">
        <f t="shared" si="7"/>
        <v>Unique ID</v>
      </c>
      <c r="V139" t="str">
        <f t="shared" si="8"/>
        <v>No</v>
      </c>
    </row>
    <row r="140" spans="1:22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6"/>
        <v>1</v>
      </c>
      <c r="R140" t="str">
        <f t="shared" si="7"/>
        <v>Unique ID</v>
      </c>
      <c r="V140" t="str">
        <f t="shared" si="8"/>
        <v>No</v>
      </c>
    </row>
    <row r="141" spans="1:22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6"/>
        <v>1</v>
      </c>
      <c r="R141" t="str">
        <f t="shared" si="7"/>
        <v>Unique ID</v>
      </c>
      <c r="V141" t="str">
        <f t="shared" si="8"/>
        <v>No</v>
      </c>
    </row>
    <row r="142" spans="1:22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6"/>
        <v>1</v>
      </c>
      <c r="R142" t="str">
        <f t="shared" si="7"/>
        <v>Unique ID</v>
      </c>
      <c r="V142" t="str">
        <f t="shared" si="8"/>
        <v>No</v>
      </c>
    </row>
    <row r="143" spans="1:22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6"/>
        <v>1</v>
      </c>
      <c r="R143" t="str">
        <f t="shared" si="7"/>
        <v>Unique ID</v>
      </c>
      <c r="V143" t="str">
        <f t="shared" si="8"/>
        <v>Yes</v>
      </c>
    </row>
    <row r="144" spans="1:22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6"/>
        <v>1</v>
      </c>
      <c r="R144" t="str">
        <f t="shared" si="7"/>
        <v>Unique ID</v>
      </c>
      <c r="V144" t="str">
        <f t="shared" si="8"/>
        <v>No</v>
      </c>
    </row>
    <row r="145" spans="1:22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6"/>
        <v>1</v>
      </c>
      <c r="R145" t="str">
        <f t="shared" si="7"/>
        <v>Unique ID</v>
      </c>
      <c r="V145" t="str">
        <f t="shared" si="8"/>
        <v>No</v>
      </c>
    </row>
    <row r="146" spans="1:22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6"/>
        <v>1</v>
      </c>
      <c r="R146" t="str">
        <f t="shared" si="7"/>
        <v>Unique ID</v>
      </c>
      <c r="V146" t="str">
        <f t="shared" si="8"/>
        <v>No</v>
      </c>
    </row>
    <row r="147" spans="1:22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6"/>
        <v>1</v>
      </c>
      <c r="R147" t="str">
        <f t="shared" si="7"/>
        <v>Unique ID</v>
      </c>
      <c r="V147" t="str">
        <f t="shared" si="8"/>
        <v>No</v>
      </c>
    </row>
    <row r="148" spans="1:22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6"/>
        <v>1</v>
      </c>
      <c r="R148" t="str">
        <f t="shared" si="7"/>
        <v>Unique ID</v>
      </c>
      <c r="V148" t="str">
        <f t="shared" si="8"/>
        <v>No</v>
      </c>
    </row>
    <row r="149" spans="1:22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6"/>
        <v>1</v>
      </c>
      <c r="R149" t="str">
        <f t="shared" si="7"/>
        <v>Unique ID</v>
      </c>
      <c r="V149" t="str">
        <f t="shared" si="8"/>
        <v>No</v>
      </c>
    </row>
    <row r="150" spans="1:22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6"/>
        <v>1</v>
      </c>
      <c r="R150" t="str">
        <f t="shared" si="7"/>
        <v>Unique ID</v>
      </c>
      <c r="V150" t="str">
        <f t="shared" si="8"/>
        <v>Yes</v>
      </c>
    </row>
    <row r="151" spans="1:22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6"/>
        <v>1</v>
      </c>
      <c r="R151" t="str">
        <f t="shared" si="7"/>
        <v>Unique ID</v>
      </c>
      <c r="V151" t="str">
        <f t="shared" si="8"/>
        <v>No</v>
      </c>
    </row>
    <row r="152" spans="1:22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6"/>
        <v>1</v>
      </c>
      <c r="R152" t="str">
        <f t="shared" si="7"/>
        <v>Unique ID</v>
      </c>
      <c r="V152" t="str">
        <f t="shared" si="8"/>
        <v>No</v>
      </c>
    </row>
    <row r="153" spans="1:22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6"/>
        <v>1</v>
      </c>
      <c r="R153" t="str">
        <f t="shared" si="7"/>
        <v>Unique ID</v>
      </c>
      <c r="V153" t="str">
        <f t="shared" si="8"/>
        <v>No</v>
      </c>
    </row>
    <row r="154" spans="1:22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6"/>
        <v>1</v>
      </c>
      <c r="R154" t="str">
        <f t="shared" si="7"/>
        <v>Unique ID</v>
      </c>
      <c r="V154" t="str">
        <f t="shared" si="8"/>
        <v>No</v>
      </c>
    </row>
    <row r="155" spans="1:22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6"/>
        <v>1</v>
      </c>
      <c r="R155" t="str">
        <f t="shared" si="7"/>
        <v>Unique ID</v>
      </c>
      <c r="V155" t="str">
        <f t="shared" si="8"/>
        <v>No</v>
      </c>
    </row>
    <row r="156" spans="1:22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6"/>
        <v>1</v>
      </c>
      <c r="R156" t="str">
        <f t="shared" si="7"/>
        <v>Unique ID</v>
      </c>
      <c r="V156" t="str">
        <f t="shared" si="8"/>
        <v>No</v>
      </c>
    </row>
    <row r="157" spans="1:22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6"/>
        <v>1</v>
      </c>
      <c r="R157" t="str">
        <f t="shared" si="7"/>
        <v>Unique ID</v>
      </c>
      <c r="V157" t="str">
        <f t="shared" si="8"/>
        <v>No</v>
      </c>
    </row>
    <row r="158" spans="1:22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6"/>
        <v>1</v>
      </c>
      <c r="R158" t="str">
        <f t="shared" si="7"/>
        <v>Unique ID</v>
      </c>
      <c r="V158" t="str">
        <f t="shared" si="8"/>
        <v>No</v>
      </c>
    </row>
    <row r="159" spans="1:22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6"/>
        <v>1</v>
      </c>
      <c r="R159" t="str">
        <f t="shared" si="7"/>
        <v>Unique ID</v>
      </c>
      <c r="V159" t="str">
        <f t="shared" si="8"/>
        <v>No</v>
      </c>
    </row>
    <row r="160" spans="1:22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6"/>
        <v>1</v>
      </c>
      <c r="R160" t="str">
        <f t="shared" si="7"/>
        <v>Unique ID</v>
      </c>
      <c r="V160" t="str">
        <f t="shared" si="8"/>
        <v>No</v>
      </c>
    </row>
    <row r="161" spans="1:22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6"/>
        <v>1</v>
      </c>
      <c r="R161" t="str">
        <f t="shared" si="7"/>
        <v>Unique ID</v>
      </c>
      <c r="V161" t="str">
        <f t="shared" si="8"/>
        <v>No</v>
      </c>
    </row>
    <row r="162" spans="1:22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6"/>
        <v>1</v>
      </c>
      <c r="R162" t="str">
        <f t="shared" si="7"/>
        <v>Unique ID</v>
      </c>
      <c r="V162" t="str">
        <f t="shared" si="8"/>
        <v>No</v>
      </c>
    </row>
    <row r="163" spans="1:22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6"/>
        <v>1</v>
      </c>
      <c r="R163" t="str">
        <f t="shared" si="7"/>
        <v>Unique ID</v>
      </c>
      <c r="V163" t="str">
        <f t="shared" si="8"/>
        <v>No</v>
      </c>
    </row>
    <row r="164" spans="1:22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6"/>
        <v>1</v>
      </c>
      <c r="R164" t="str">
        <f t="shared" si="7"/>
        <v>Unique ID</v>
      </c>
      <c r="V164" t="str">
        <f t="shared" si="8"/>
        <v>No</v>
      </c>
    </row>
    <row r="165" spans="1:22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6"/>
        <v>1</v>
      </c>
      <c r="R165" t="str">
        <f t="shared" si="7"/>
        <v>Unique ID</v>
      </c>
      <c r="V165" t="str">
        <f t="shared" si="8"/>
        <v>No</v>
      </c>
    </row>
    <row r="166" spans="1:22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6"/>
        <v>1</v>
      </c>
      <c r="R166" t="str">
        <f t="shared" si="7"/>
        <v>Unique ID</v>
      </c>
      <c r="V166" t="str">
        <f t="shared" si="8"/>
        <v>No</v>
      </c>
    </row>
    <row r="167" spans="1:22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6"/>
        <v>1</v>
      </c>
      <c r="R167" t="str">
        <f t="shared" si="7"/>
        <v>Unique ID</v>
      </c>
      <c r="V167" t="str">
        <f t="shared" si="8"/>
        <v>Yes</v>
      </c>
    </row>
    <row r="168" spans="1:22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6"/>
        <v>1</v>
      </c>
      <c r="R168" t="str">
        <f t="shared" si="7"/>
        <v>Unique ID</v>
      </c>
      <c r="V168" t="str">
        <f t="shared" si="8"/>
        <v>No</v>
      </c>
    </row>
    <row r="169" spans="1:22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6"/>
        <v>1</v>
      </c>
      <c r="R169" t="str">
        <f t="shared" si="7"/>
        <v>Unique ID</v>
      </c>
      <c r="V169" t="str">
        <f t="shared" si="8"/>
        <v>No</v>
      </c>
    </row>
    <row r="170" spans="1:22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6"/>
        <v>1</v>
      </c>
      <c r="R170" t="str">
        <f t="shared" si="7"/>
        <v>Unique ID</v>
      </c>
      <c r="V170" t="str">
        <f t="shared" si="8"/>
        <v>No</v>
      </c>
    </row>
    <row r="171" spans="1:22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6"/>
        <v>1</v>
      </c>
      <c r="R171" t="str">
        <f t="shared" si="7"/>
        <v>Unique ID</v>
      </c>
      <c r="V171" t="str">
        <f t="shared" si="8"/>
        <v>No</v>
      </c>
    </row>
    <row r="172" spans="1:22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6"/>
        <v>1</v>
      </c>
      <c r="R172" t="str">
        <f t="shared" si="7"/>
        <v>Unique ID</v>
      </c>
      <c r="V172" t="str">
        <f t="shared" si="8"/>
        <v>No</v>
      </c>
    </row>
    <row r="173" spans="1:22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6"/>
        <v>1</v>
      </c>
      <c r="R173" t="str">
        <f t="shared" si="7"/>
        <v>Unique ID</v>
      </c>
      <c r="V173" t="str">
        <f t="shared" si="8"/>
        <v>No</v>
      </c>
    </row>
    <row r="174" spans="1:22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6"/>
        <v>1</v>
      </c>
      <c r="R174" t="str">
        <f t="shared" si="7"/>
        <v>Unique ID</v>
      </c>
      <c r="V174" t="str">
        <f t="shared" si="8"/>
        <v>No</v>
      </c>
    </row>
    <row r="175" spans="1:22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6"/>
        <v>1</v>
      </c>
      <c r="R175" t="str">
        <f t="shared" si="7"/>
        <v>Unique ID</v>
      </c>
      <c r="V175" t="str">
        <f t="shared" si="8"/>
        <v>No</v>
      </c>
    </row>
    <row r="176" spans="1:22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6"/>
        <v>1</v>
      </c>
      <c r="R176" t="str">
        <f t="shared" si="7"/>
        <v>Unique ID</v>
      </c>
      <c r="V176" t="str">
        <f t="shared" si="8"/>
        <v>No</v>
      </c>
    </row>
    <row r="177" spans="1:22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6"/>
        <v>1</v>
      </c>
      <c r="R177" t="str">
        <f t="shared" si="7"/>
        <v>Unique ID</v>
      </c>
      <c r="V177" t="str">
        <f t="shared" si="8"/>
        <v>No</v>
      </c>
    </row>
    <row r="178" spans="1:22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6"/>
        <v>1</v>
      </c>
      <c r="R178" t="str">
        <f t="shared" si="7"/>
        <v>Unique ID</v>
      </c>
      <c r="V178" t="str">
        <f t="shared" si="8"/>
        <v>No</v>
      </c>
    </row>
    <row r="179" spans="1:22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6"/>
        <v>1</v>
      </c>
      <c r="R179" t="str">
        <f t="shared" si="7"/>
        <v>Unique ID</v>
      </c>
      <c r="V179" t="str">
        <f t="shared" si="8"/>
        <v>No</v>
      </c>
    </row>
    <row r="180" spans="1:22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6"/>
        <v>1</v>
      </c>
      <c r="R180" t="str">
        <f t="shared" si="7"/>
        <v>Unique ID</v>
      </c>
      <c r="V180" t="str">
        <f t="shared" si="8"/>
        <v>No</v>
      </c>
    </row>
    <row r="181" spans="1:22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6"/>
        <v>1</v>
      </c>
      <c r="R181" t="str">
        <f t="shared" si="7"/>
        <v>Unique ID</v>
      </c>
      <c r="V181" t="str">
        <f t="shared" si="8"/>
        <v>No</v>
      </c>
    </row>
    <row r="182" spans="1:22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6"/>
        <v>1</v>
      </c>
      <c r="R182" t="str">
        <f t="shared" si="7"/>
        <v>Unique ID</v>
      </c>
      <c r="V182" t="str">
        <f t="shared" si="8"/>
        <v>No</v>
      </c>
    </row>
    <row r="183" spans="1:22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6"/>
        <v>1</v>
      </c>
      <c r="R183" t="str">
        <f t="shared" si="7"/>
        <v>Unique ID</v>
      </c>
      <c r="V183" t="str">
        <f t="shared" si="8"/>
        <v>No</v>
      </c>
    </row>
    <row r="184" spans="1:22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6"/>
        <v>1</v>
      </c>
      <c r="R184" t="str">
        <f t="shared" si="7"/>
        <v>Unique ID</v>
      </c>
      <c r="V184" t="str">
        <f t="shared" si="8"/>
        <v>No</v>
      </c>
    </row>
    <row r="185" spans="1:22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6"/>
        <v>1</v>
      </c>
      <c r="R185" t="str">
        <f t="shared" si="7"/>
        <v>Unique ID</v>
      </c>
      <c r="V185" t="str">
        <f t="shared" si="8"/>
        <v>No</v>
      </c>
    </row>
    <row r="186" spans="1:22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6"/>
        <v>1</v>
      </c>
      <c r="R186" t="str">
        <f t="shared" si="7"/>
        <v>Unique ID</v>
      </c>
      <c r="V186" t="str">
        <f t="shared" si="8"/>
        <v>No</v>
      </c>
    </row>
    <row r="187" spans="1:22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6"/>
        <v>1</v>
      </c>
      <c r="R187" t="str">
        <f t="shared" si="7"/>
        <v>Unique ID</v>
      </c>
      <c r="V187" t="str">
        <f t="shared" si="8"/>
        <v>No</v>
      </c>
    </row>
    <row r="188" spans="1:22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6"/>
        <v>1</v>
      </c>
      <c r="R188" t="str">
        <f t="shared" si="7"/>
        <v>Unique ID</v>
      </c>
      <c r="V188" t="str">
        <f t="shared" si="8"/>
        <v>No</v>
      </c>
    </row>
    <row r="189" spans="1:22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6"/>
        <v>1</v>
      </c>
      <c r="R189" t="str">
        <f t="shared" si="7"/>
        <v>Unique ID</v>
      </c>
      <c r="V189" t="str">
        <f t="shared" si="8"/>
        <v>No</v>
      </c>
    </row>
    <row r="190" spans="1:22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6"/>
        <v>1</v>
      </c>
      <c r="R190" t="str">
        <f t="shared" si="7"/>
        <v>Unique ID</v>
      </c>
      <c r="V190" t="str">
        <f t="shared" si="8"/>
        <v>No</v>
      </c>
    </row>
    <row r="191" spans="1:22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6"/>
        <v>1</v>
      </c>
      <c r="R191" t="str">
        <f t="shared" si="7"/>
        <v>Unique ID</v>
      </c>
      <c r="V191" t="str">
        <f t="shared" si="8"/>
        <v>No</v>
      </c>
    </row>
    <row r="192" spans="1:22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6"/>
        <v>1</v>
      </c>
      <c r="R192" t="str">
        <f t="shared" si="7"/>
        <v>Unique ID</v>
      </c>
      <c r="V192" t="str">
        <f t="shared" si="8"/>
        <v>No</v>
      </c>
    </row>
    <row r="193" spans="1:22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6"/>
        <v>1</v>
      </c>
      <c r="R193" t="str">
        <f t="shared" si="7"/>
        <v>Unique ID</v>
      </c>
      <c r="V193" t="str">
        <f t="shared" si="8"/>
        <v>No</v>
      </c>
    </row>
    <row r="194" spans="1:22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6"/>
        <v>1</v>
      </c>
      <c r="R194" t="str">
        <f t="shared" si="7"/>
        <v>Unique ID</v>
      </c>
      <c r="V194" t="str">
        <f t="shared" si="8"/>
        <v>No</v>
      </c>
    </row>
    <row r="195" spans="1:22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9">COUNTIF($A:$A,A195)</f>
        <v>1</v>
      </c>
      <c r="R195" t="str">
        <f t="shared" ref="R195:R258" si="10">IF(Q195&gt;1,"Duplicate ID","Unique ID")</f>
        <v>Unique ID</v>
      </c>
      <c r="V195" t="str">
        <f t="shared" ref="V195:V258" si="11">IF(OR(L195&lt;$U$5,L195&gt;$U$6),"Yes","No")</f>
        <v>No</v>
      </c>
    </row>
    <row r="196" spans="1:22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9"/>
        <v>1</v>
      </c>
      <c r="R196" t="str">
        <f t="shared" si="10"/>
        <v>Unique ID</v>
      </c>
      <c r="V196" t="str">
        <f t="shared" si="11"/>
        <v>No</v>
      </c>
    </row>
    <row r="197" spans="1:22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9"/>
        <v>1</v>
      </c>
      <c r="R197" t="str">
        <f t="shared" si="10"/>
        <v>Unique ID</v>
      </c>
      <c r="V197" t="str">
        <f t="shared" si="11"/>
        <v>No</v>
      </c>
    </row>
    <row r="198" spans="1:22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9"/>
        <v>1</v>
      </c>
      <c r="R198" t="str">
        <f t="shared" si="10"/>
        <v>Unique ID</v>
      </c>
      <c r="V198" t="str">
        <f t="shared" si="11"/>
        <v>Yes</v>
      </c>
    </row>
    <row r="199" spans="1:22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9"/>
        <v>1</v>
      </c>
      <c r="R199" t="str">
        <f t="shared" si="10"/>
        <v>Unique ID</v>
      </c>
      <c r="V199" t="str">
        <f t="shared" si="11"/>
        <v>No</v>
      </c>
    </row>
    <row r="200" spans="1:22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9"/>
        <v>1</v>
      </c>
      <c r="R200" t="str">
        <f t="shared" si="10"/>
        <v>Unique ID</v>
      </c>
      <c r="V200" t="str">
        <f t="shared" si="11"/>
        <v>No</v>
      </c>
    </row>
    <row r="201" spans="1:22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9"/>
        <v>1</v>
      </c>
      <c r="R201" t="str">
        <f t="shared" si="10"/>
        <v>Unique ID</v>
      </c>
      <c r="V201" t="str">
        <f t="shared" si="11"/>
        <v>No</v>
      </c>
    </row>
    <row r="202" spans="1:22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9"/>
        <v>1</v>
      </c>
      <c r="R202" t="str">
        <f t="shared" si="10"/>
        <v>Unique ID</v>
      </c>
      <c r="V202" t="str">
        <f t="shared" si="11"/>
        <v>No</v>
      </c>
    </row>
    <row r="203" spans="1:22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9"/>
        <v>1</v>
      </c>
      <c r="R203" t="str">
        <f t="shared" si="10"/>
        <v>Unique ID</v>
      </c>
      <c r="V203" t="str">
        <f t="shared" si="11"/>
        <v>No</v>
      </c>
    </row>
    <row r="204" spans="1:22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9"/>
        <v>1</v>
      </c>
      <c r="R204" t="str">
        <f t="shared" si="10"/>
        <v>Unique ID</v>
      </c>
      <c r="V204" t="str">
        <f t="shared" si="11"/>
        <v>No</v>
      </c>
    </row>
    <row r="205" spans="1:22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9"/>
        <v>1</v>
      </c>
      <c r="R205" t="str">
        <f t="shared" si="10"/>
        <v>Unique ID</v>
      </c>
      <c r="V205" t="str">
        <f t="shared" si="11"/>
        <v>No</v>
      </c>
    </row>
    <row r="206" spans="1:22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9"/>
        <v>1</v>
      </c>
      <c r="R206" t="str">
        <f t="shared" si="10"/>
        <v>Unique ID</v>
      </c>
      <c r="V206" t="str">
        <f t="shared" si="11"/>
        <v>No</v>
      </c>
    </row>
    <row r="207" spans="1:22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9"/>
        <v>1</v>
      </c>
      <c r="R207" t="str">
        <f t="shared" si="10"/>
        <v>Unique ID</v>
      </c>
      <c r="V207" t="str">
        <f t="shared" si="11"/>
        <v>No</v>
      </c>
    </row>
    <row r="208" spans="1:22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9"/>
        <v>1</v>
      </c>
      <c r="R208" t="str">
        <f t="shared" si="10"/>
        <v>Unique ID</v>
      </c>
      <c r="V208" t="str">
        <f t="shared" si="11"/>
        <v>No</v>
      </c>
    </row>
    <row r="209" spans="1:22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9"/>
        <v>1</v>
      </c>
      <c r="R209" t="str">
        <f t="shared" si="10"/>
        <v>Unique ID</v>
      </c>
      <c r="V209" t="str">
        <f t="shared" si="11"/>
        <v>No</v>
      </c>
    </row>
    <row r="210" spans="1:22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9"/>
        <v>1</v>
      </c>
      <c r="R210" t="str">
        <f t="shared" si="10"/>
        <v>Unique ID</v>
      </c>
      <c r="V210" t="str">
        <f t="shared" si="11"/>
        <v>No</v>
      </c>
    </row>
    <row r="211" spans="1:22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9"/>
        <v>1</v>
      </c>
      <c r="R211" t="str">
        <f t="shared" si="10"/>
        <v>Unique ID</v>
      </c>
      <c r="V211" t="str">
        <f t="shared" si="11"/>
        <v>No</v>
      </c>
    </row>
    <row r="212" spans="1:22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9"/>
        <v>1</v>
      </c>
      <c r="R212" t="str">
        <f t="shared" si="10"/>
        <v>Unique ID</v>
      </c>
      <c r="V212" t="str">
        <f t="shared" si="11"/>
        <v>Yes</v>
      </c>
    </row>
    <row r="213" spans="1:22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9"/>
        <v>1</v>
      </c>
      <c r="R213" t="str">
        <f t="shared" si="10"/>
        <v>Unique ID</v>
      </c>
      <c r="V213" t="str">
        <f t="shared" si="11"/>
        <v>No</v>
      </c>
    </row>
    <row r="214" spans="1:22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9"/>
        <v>1</v>
      </c>
      <c r="R214" t="str">
        <f t="shared" si="10"/>
        <v>Unique ID</v>
      </c>
      <c r="V214" t="str">
        <f t="shared" si="11"/>
        <v>No</v>
      </c>
    </row>
    <row r="215" spans="1:22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9"/>
        <v>1</v>
      </c>
      <c r="R215" t="str">
        <f t="shared" si="10"/>
        <v>Unique ID</v>
      </c>
      <c r="V215" t="str">
        <f t="shared" si="11"/>
        <v>No</v>
      </c>
    </row>
    <row r="216" spans="1:22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9"/>
        <v>1</v>
      </c>
      <c r="R216" t="str">
        <f t="shared" si="10"/>
        <v>Unique ID</v>
      </c>
      <c r="V216" t="str">
        <f t="shared" si="11"/>
        <v>No</v>
      </c>
    </row>
    <row r="217" spans="1:22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9"/>
        <v>1</v>
      </c>
      <c r="R217" t="str">
        <f t="shared" si="10"/>
        <v>Unique ID</v>
      </c>
      <c r="V217" t="str">
        <f t="shared" si="11"/>
        <v>No</v>
      </c>
    </row>
    <row r="218" spans="1:22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9"/>
        <v>1</v>
      </c>
      <c r="R218" t="str">
        <f t="shared" si="10"/>
        <v>Unique ID</v>
      </c>
      <c r="V218" t="str">
        <f t="shared" si="11"/>
        <v>No</v>
      </c>
    </row>
    <row r="219" spans="1:22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9"/>
        <v>1</v>
      </c>
      <c r="R219" t="str">
        <f t="shared" si="10"/>
        <v>Unique ID</v>
      </c>
      <c r="V219" t="str">
        <f t="shared" si="11"/>
        <v>No</v>
      </c>
    </row>
    <row r="220" spans="1:22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9"/>
        <v>1</v>
      </c>
      <c r="R220" t="str">
        <f t="shared" si="10"/>
        <v>Unique ID</v>
      </c>
      <c r="V220" t="str">
        <f t="shared" si="11"/>
        <v>No</v>
      </c>
    </row>
    <row r="221" spans="1:22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9"/>
        <v>1</v>
      </c>
      <c r="R221" t="str">
        <f t="shared" si="10"/>
        <v>Unique ID</v>
      </c>
      <c r="V221" t="str">
        <f t="shared" si="11"/>
        <v>No</v>
      </c>
    </row>
    <row r="222" spans="1:22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9"/>
        <v>1</v>
      </c>
      <c r="R222" t="str">
        <f t="shared" si="10"/>
        <v>Unique ID</v>
      </c>
      <c r="V222" t="str">
        <f t="shared" si="11"/>
        <v>No</v>
      </c>
    </row>
    <row r="223" spans="1:22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9"/>
        <v>1</v>
      </c>
      <c r="R223" t="str">
        <f t="shared" si="10"/>
        <v>Unique ID</v>
      </c>
      <c r="V223" t="str">
        <f t="shared" si="11"/>
        <v>No</v>
      </c>
    </row>
    <row r="224" spans="1:22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9"/>
        <v>1</v>
      </c>
      <c r="R224" t="str">
        <f t="shared" si="10"/>
        <v>Unique ID</v>
      </c>
      <c r="V224" t="str">
        <f t="shared" si="11"/>
        <v>No</v>
      </c>
    </row>
    <row r="225" spans="1:22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9"/>
        <v>1</v>
      </c>
      <c r="R225" t="str">
        <f t="shared" si="10"/>
        <v>Unique ID</v>
      </c>
      <c r="V225" t="str">
        <f t="shared" si="11"/>
        <v>No</v>
      </c>
    </row>
    <row r="226" spans="1:22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9"/>
        <v>1</v>
      </c>
      <c r="R226" t="str">
        <f t="shared" si="10"/>
        <v>Unique ID</v>
      </c>
      <c r="V226" t="str">
        <f t="shared" si="11"/>
        <v>No</v>
      </c>
    </row>
    <row r="227" spans="1:22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9"/>
        <v>1</v>
      </c>
      <c r="R227" t="str">
        <f t="shared" si="10"/>
        <v>Unique ID</v>
      </c>
      <c r="V227" t="str">
        <f t="shared" si="11"/>
        <v>No</v>
      </c>
    </row>
    <row r="228" spans="1:22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9"/>
        <v>1</v>
      </c>
      <c r="R228" t="str">
        <f t="shared" si="10"/>
        <v>Unique ID</v>
      </c>
      <c r="V228" t="str">
        <f t="shared" si="11"/>
        <v>No</v>
      </c>
    </row>
    <row r="229" spans="1:22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9"/>
        <v>1</v>
      </c>
      <c r="R229" t="str">
        <f t="shared" si="10"/>
        <v>Unique ID</v>
      </c>
      <c r="V229" t="str">
        <f t="shared" si="11"/>
        <v>No</v>
      </c>
    </row>
    <row r="230" spans="1:22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9"/>
        <v>1</v>
      </c>
      <c r="R230" t="str">
        <f t="shared" si="10"/>
        <v>Unique ID</v>
      </c>
      <c r="V230" t="str">
        <f t="shared" si="11"/>
        <v>No</v>
      </c>
    </row>
    <row r="231" spans="1:22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9"/>
        <v>1</v>
      </c>
      <c r="R231" t="str">
        <f t="shared" si="10"/>
        <v>Unique ID</v>
      </c>
      <c r="V231" t="str">
        <f t="shared" si="11"/>
        <v>No</v>
      </c>
    </row>
    <row r="232" spans="1:22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9"/>
        <v>1</v>
      </c>
      <c r="R232" t="str">
        <f t="shared" si="10"/>
        <v>Unique ID</v>
      </c>
      <c r="V232" t="str">
        <f t="shared" si="11"/>
        <v>No</v>
      </c>
    </row>
    <row r="233" spans="1:22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9"/>
        <v>1</v>
      </c>
      <c r="R233" t="str">
        <f t="shared" si="10"/>
        <v>Unique ID</v>
      </c>
      <c r="V233" t="str">
        <f t="shared" si="11"/>
        <v>No</v>
      </c>
    </row>
    <row r="234" spans="1:22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9"/>
        <v>1</v>
      </c>
      <c r="R234" t="str">
        <f t="shared" si="10"/>
        <v>Unique ID</v>
      </c>
      <c r="V234" t="str">
        <f t="shared" si="11"/>
        <v>No</v>
      </c>
    </row>
    <row r="235" spans="1:22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9"/>
        <v>1</v>
      </c>
      <c r="R235" t="str">
        <f t="shared" si="10"/>
        <v>Unique ID</v>
      </c>
      <c r="V235" t="str">
        <f t="shared" si="11"/>
        <v>No</v>
      </c>
    </row>
    <row r="236" spans="1:22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9"/>
        <v>1</v>
      </c>
      <c r="R236" t="str">
        <f t="shared" si="10"/>
        <v>Unique ID</v>
      </c>
      <c r="V236" t="str">
        <f t="shared" si="11"/>
        <v>No</v>
      </c>
    </row>
    <row r="237" spans="1:22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9"/>
        <v>1</v>
      </c>
      <c r="R237" t="str">
        <f t="shared" si="10"/>
        <v>Unique ID</v>
      </c>
      <c r="V237" t="str">
        <f t="shared" si="11"/>
        <v>No</v>
      </c>
    </row>
    <row r="238" spans="1:22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9"/>
        <v>1</v>
      </c>
      <c r="R238" t="str">
        <f t="shared" si="10"/>
        <v>Unique ID</v>
      </c>
      <c r="V238" t="str">
        <f t="shared" si="11"/>
        <v>No</v>
      </c>
    </row>
    <row r="239" spans="1:22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9"/>
        <v>1</v>
      </c>
      <c r="R239" t="str">
        <f t="shared" si="10"/>
        <v>Unique ID</v>
      </c>
      <c r="V239" t="str">
        <f t="shared" si="11"/>
        <v>No</v>
      </c>
    </row>
    <row r="240" spans="1:22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9"/>
        <v>1</v>
      </c>
      <c r="R240" t="str">
        <f t="shared" si="10"/>
        <v>Unique ID</v>
      </c>
      <c r="V240" t="str">
        <f t="shared" si="11"/>
        <v>No</v>
      </c>
    </row>
    <row r="241" spans="1:22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9"/>
        <v>1</v>
      </c>
      <c r="R241" t="str">
        <f t="shared" si="10"/>
        <v>Unique ID</v>
      </c>
      <c r="V241" t="str">
        <f t="shared" si="11"/>
        <v>No</v>
      </c>
    </row>
    <row r="242" spans="1:22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9"/>
        <v>1</v>
      </c>
      <c r="R242" t="str">
        <f t="shared" si="10"/>
        <v>Unique ID</v>
      </c>
      <c r="V242" t="str">
        <f t="shared" si="11"/>
        <v>No</v>
      </c>
    </row>
    <row r="243" spans="1:22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9"/>
        <v>1</v>
      </c>
      <c r="R243" t="str">
        <f t="shared" si="10"/>
        <v>Unique ID</v>
      </c>
      <c r="V243" t="str">
        <f t="shared" si="11"/>
        <v>No</v>
      </c>
    </row>
    <row r="244" spans="1:22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9"/>
        <v>1</v>
      </c>
      <c r="R244" t="str">
        <f t="shared" si="10"/>
        <v>Unique ID</v>
      </c>
      <c r="V244" t="str">
        <f t="shared" si="11"/>
        <v>No</v>
      </c>
    </row>
    <row r="245" spans="1:22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9"/>
        <v>1</v>
      </c>
      <c r="R245" t="str">
        <f t="shared" si="10"/>
        <v>Unique ID</v>
      </c>
      <c r="V245" t="str">
        <f t="shared" si="11"/>
        <v>No</v>
      </c>
    </row>
    <row r="246" spans="1:22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9"/>
        <v>1</v>
      </c>
      <c r="R246" t="str">
        <f t="shared" si="10"/>
        <v>Unique ID</v>
      </c>
      <c r="V246" t="str">
        <f t="shared" si="11"/>
        <v>No</v>
      </c>
    </row>
    <row r="247" spans="1:22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9"/>
        <v>1</v>
      </c>
      <c r="R247" t="str">
        <f t="shared" si="10"/>
        <v>Unique ID</v>
      </c>
      <c r="V247" t="str">
        <f t="shared" si="11"/>
        <v>No</v>
      </c>
    </row>
    <row r="248" spans="1:22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9"/>
        <v>1</v>
      </c>
      <c r="R248" t="str">
        <f t="shared" si="10"/>
        <v>Unique ID</v>
      </c>
      <c r="V248" t="str">
        <f t="shared" si="11"/>
        <v>No</v>
      </c>
    </row>
    <row r="249" spans="1:22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9"/>
        <v>1</v>
      </c>
      <c r="R249" t="str">
        <f t="shared" si="10"/>
        <v>Unique ID</v>
      </c>
      <c r="V249" t="str">
        <f t="shared" si="11"/>
        <v>No</v>
      </c>
    </row>
    <row r="250" spans="1:22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9"/>
        <v>1</v>
      </c>
      <c r="R250" t="str">
        <f t="shared" si="10"/>
        <v>Unique ID</v>
      </c>
      <c r="V250" t="str">
        <f t="shared" si="11"/>
        <v>No</v>
      </c>
    </row>
    <row r="251" spans="1:22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9"/>
        <v>1</v>
      </c>
      <c r="R251" t="str">
        <f t="shared" si="10"/>
        <v>Unique ID</v>
      </c>
      <c r="V251" t="str">
        <f t="shared" si="11"/>
        <v>No</v>
      </c>
    </row>
    <row r="252" spans="1:22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9"/>
        <v>1</v>
      </c>
      <c r="R252" t="str">
        <f t="shared" si="10"/>
        <v>Unique ID</v>
      </c>
      <c r="V252" t="str">
        <f t="shared" si="11"/>
        <v>Yes</v>
      </c>
    </row>
    <row r="253" spans="1:22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9"/>
        <v>1</v>
      </c>
      <c r="R253" t="str">
        <f t="shared" si="10"/>
        <v>Unique ID</v>
      </c>
      <c r="V253" t="str">
        <f t="shared" si="11"/>
        <v>No</v>
      </c>
    </row>
    <row r="254" spans="1:22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9"/>
        <v>1</v>
      </c>
      <c r="R254" t="str">
        <f t="shared" si="10"/>
        <v>Unique ID</v>
      </c>
      <c r="V254" t="str">
        <f t="shared" si="11"/>
        <v>No</v>
      </c>
    </row>
    <row r="255" spans="1:22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9"/>
        <v>1</v>
      </c>
      <c r="R255" t="str">
        <f t="shared" si="10"/>
        <v>Unique ID</v>
      </c>
      <c r="V255" t="str">
        <f t="shared" si="11"/>
        <v>No</v>
      </c>
    </row>
    <row r="256" spans="1:22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9"/>
        <v>1</v>
      </c>
      <c r="R256" t="str">
        <f t="shared" si="10"/>
        <v>Unique ID</v>
      </c>
      <c r="V256" t="str">
        <f t="shared" si="11"/>
        <v>No</v>
      </c>
    </row>
    <row r="257" spans="1:22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9"/>
        <v>1</v>
      </c>
      <c r="R257" t="str">
        <f t="shared" si="10"/>
        <v>Unique ID</v>
      </c>
      <c r="V257" t="str">
        <f t="shared" si="11"/>
        <v>No</v>
      </c>
    </row>
    <row r="258" spans="1:22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9"/>
        <v>1</v>
      </c>
      <c r="R258" t="str">
        <f t="shared" si="10"/>
        <v>Unique ID</v>
      </c>
      <c r="V258" t="str">
        <f t="shared" si="11"/>
        <v>No</v>
      </c>
    </row>
    <row r="259" spans="1:22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12">COUNTIF($A:$A,A259)</f>
        <v>1</v>
      </c>
      <c r="R259" t="str">
        <f t="shared" ref="R259:R322" si="13">IF(Q259&gt;1,"Duplicate ID","Unique ID")</f>
        <v>Unique ID</v>
      </c>
      <c r="V259" t="str">
        <f t="shared" ref="V259:V322" si="14">IF(OR(L259&lt;$U$5,L259&gt;$U$6),"Yes","No")</f>
        <v>No</v>
      </c>
    </row>
    <row r="260" spans="1:22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12"/>
        <v>1</v>
      </c>
      <c r="R260" t="str">
        <f t="shared" si="13"/>
        <v>Unique ID</v>
      </c>
      <c r="V260" t="str">
        <f t="shared" si="14"/>
        <v>No</v>
      </c>
    </row>
    <row r="261" spans="1:22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12"/>
        <v>1</v>
      </c>
      <c r="R261" t="str">
        <f t="shared" si="13"/>
        <v>Unique ID</v>
      </c>
      <c r="V261" t="str">
        <f t="shared" si="14"/>
        <v>No</v>
      </c>
    </row>
    <row r="262" spans="1:22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12"/>
        <v>1</v>
      </c>
      <c r="R262" t="str">
        <f t="shared" si="13"/>
        <v>Unique ID</v>
      </c>
      <c r="V262" t="str">
        <f t="shared" si="14"/>
        <v>No</v>
      </c>
    </row>
    <row r="263" spans="1:22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12"/>
        <v>1</v>
      </c>
      <c r="R263" t="str">
        <f t="shared" si="13"/>
        <v>Unique ID</v>
      </c>
      <c r="V263" t="str">
        <f t="shared" si="14"/>
        <v>No</v>
      </c>
    </row>
    <row r="264" spans="1:22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12"/>
        <v>1</v>
      </c>
      <c r="R264" t="str">
        <f t="shared" si="13"/>
        <v>Unique ID</v>
      </c>
      <c r="V264" t="str">
        <f t="shared" si="14"/>
        <v>No</v>
      </c>
    </row>
    <row r="265" spans="1:22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12"/>
        <v>1</v>
      </c>
      <c r="R265" t="str">
        <f t="shared" si="13"/>
        <v>Unique ID</v>
      </c>
      <c r="V265" t="str">
        <f t="shared" si="14"/>
        <v>No</v>
      </c>
    </row>
    <row r="266" spans="1:22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12"/>
        <v>1</v>
      </c>
      <c r="R266" t="str">
        <f t="shared" si="13"/>
        <v>Unique ID</v>
      </c>
      <c r="V266" t="str">
        <f t="shared" si="14"/>
        <v>No</v>
      </c>
    </row>
    <row r="267" spans="1:22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12"/>
        <v>1</v>
      </c>
      <c r="R267" t="str">
        <f t="shared" si="13"/>
        <v>Unique ID</v>
      </c>
      <c r="V267" t="str">
        <f t="shared" si="14"/>
        <v>No</v>
      </c>
    </row>
    <row r="268" spans="1:22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12"/>
        <v>1</v>
      </c>
      <c r="R268" t="str">
        <f t="shared" si="13"/>
        <v>Unique ID</v>
      </c>
      <c r="V268" t="str">
        <f t="shared" si="14"/>
        <v>No</v>
      </c>
    </row>
    <row r="269" spans="1:22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12"/>
        <v>1</v>
      </c>
      <c r="R269" t="str">
        <f t="shared" si="13"/>
        <v>Unique ID</v>
      </c>
      <c r="V269" t="str">
        <f t="shared" si="14"/>
        <v>No</v>
      </c>
    </row>
    <row r="270" spans="1:22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12"/>
        <v>1</v>
      </c>
      <c r="R270" t="str">
        <f t="shared" si="13"/>
        <v>Unique ID</v>
      </c>
      <c r="V270" t="str">
        <f t="shared" si="14"/>
        <v>No</v>
      </c>
    </row>
    <row r="271" spans="1:22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12"/>
        <v>1</v>
      </c>
      <c r="R271" t="str">
        <f t="shared" si="13"/>
        <v>Unique ID</v>
      </c>
      <c r="V271" t="str">
        <f t="shared" si="14"/>
        <v>No</v>
      </c>
    </row>
    <row r="272" spans="1:22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12"/>
        <v>1</v>
      </c>
      <c r="R272" t="str">
        <f t="shared" si="13"/>
        <v>Unique ID</v>
      </c>
      <c r="V272" t="str">
        <f t="shared" si="14"/>
        <v>No</v>
      </c>
    </row>
    <row r="273" spans="1:22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12"/>
        <v>1</v>
      </c>
      <c r="R273" t="str">
        <f t="shared" si="13"/>
        <v>Unique ID</v>
      </c>
      <c r="V273" t="str">
        <f t="shared" si="14"/>
        <v>No</v>
      </c>
    </row>
    <row r="274" spans="1:22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12"/>
        <v>1</v>
      </c>
      <c r="R274" t="str">
        <f t="shared" si="13"/>
        <v>Unique ID</v>
      </c>
      <c r="V274" t="str">
        <f t="shared" si="14"/>
        <v>No</v>
      </c>
    </row>
    <row r="275" spans="1:22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12"/>
        <v>1</v>
      </c>
      <c r="R275" t="str">
        <f t="shared" si="13"/>
        <v>Unique ID</v>
      </c>
      <c r="V275" t="str">
        <f t="shared" si="14"/>
        <v>No</v>
      </c>
    </row>
    <row r="276" spans="1:22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12"/>
        <v>1</v>
      </c>
      <c r="R276" t="str">
        <f t="shared" si="13"/>
        <v>Unique ID</v>
      </c>
      <c r="V276" t="str">
        <f t="shared" si="14"/>
        <v>No</v>
      </c>
    </row>
    <row r="277" spans="1:22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12"/>
        <v>1</v>
      </c>
      <c r="R277" t="str">
        <f t="shared" si="13"/>
        <v>Unique ID</v>
      </c>
      <c r="V277" t="str">
        <f t="shared" si="14"/>
        <v>No</v>
      </c>
    </row>
    <row r="278" spans="1:22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12"/>
        <v>1</v>
      </c>
      <c r="R278" t="str">
        <f t="shared" si="13"/>
        <v>Unique ID</v>
      </c>
      <c r="V278" t="str">
        <f t="shared" si="14"/>
        <v>No</v>
      </c>
    </row>
    <row r="279" spans="1:22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12"/>
        <v>1</v>
      </c>
      <c r="R279" t="str">
        <f t="shared" si="13"/>
        <v>Unique ID</v>
      </c>
      <c r="V279" t="str">
        <f t="shared" si="14"/>
        <v>No</v>
      </c>
    </row>
    <row r="280" spans="1:22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12"/>
        <v>1</v>
      </c>
      <c r="R280" t="str">
        <f t="shared" si="13"/>
        <v>Unique ID</v>
      </c>
      <c r="V280" t="str">
        <f t="shared" si="14"/>
        <v>No</v>
      </c>
    </row>
    <row r="281" spans="1:22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12"/>
        <v>1</v>
      </c>
      <c r="R281" t="str">
        <f t="shared" si="13"/>
        <v>Unique ID</v>
      </c>
      <c r="V281" t="str">
        <f t="shared" si="14"/>
        <v>No</v>
      </c>
    </row>
    <row r="282" spans="1:22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12"/>
        <v>1</v>
      </c>
      <c r="R282" t="str">
        <f t="shared" si="13"/>
        <v>Unique ID</v>
      </c>
      <c r="V282" t="str">
        <f t="shared" si="14"/>
        <v>No</v>
      </c>
    </row>
    <row r="283" spans="1:22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12"/>
        <v>1</v>
      </c>
      <c r="R283" t="str">
        <f t="shared" si="13"/>
        <v>Unique ID</v>
      </c>
      <c r="V283" t="str">
        <f t="shared" si="14"/>
        <v>No</v>
      </c>
    </row>
    <row r="284" spans="1:22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12"/>
        <v>1</v>
      </c>
      <c r="R284" t="str">
        <f t="shared" si="13"/>
        <v>Unique ID</v>
      </c>
      <c r="V284" t="str">
        <f t="shared" si="14"/>
        <v>No</v>
      </c>
    </row>
    <row r="285" spans="1:22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12"/>
        <v>1</v>
      </c>
      <c r="R285" t="str">
        <f t="shared" si="13"/>
        <v>Unique ID</v>
      </c>
      <c r="V285" t="str">
        <f t="shared" si="14"/>
        <v>No</v>
      </c>
    </row>
    <row r="286" spans="1:22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12"/>
        <v>1</v>
      </c>
      <c r="R286" t="str">
        <f t="shared" si="13"/>
        <v>Unique ID</v>
      </c>
      <c r="V286" t="str">
        <f t="shared" si="14"/>
        <v>No</v>
      </c>
    </row>
    <row r="287" spans="1:22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12"/>
        <v>1</v>
      </c>
      <c r="R287" t="str">
        <f t="shared" si="13"/>
        <v>Unique ID</v>
      </c>
      <c r="V287" t="str">
        <f t="shared" si="14"/>
        <v>No</v>
      </c>
    </row>
    <row r="288" spans="1:22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12"/>
        <v>1</v>
      </c>
      <c r="R288" t="str">
        <f t="shared" si="13"/>
        <v>Unique ID</v>
      </c>
      <c r="V288" t="str">
        <f t="shared" si="14"/>
        <v>No</v>
      </c>
    </row>
    <row r="289" spans="1:22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12"/>
        <v>1</v>
      </c>
      <c r="R289" t="str">
        <f t="shared" si="13"/>
        <v>Unique ID</v>
      </c>
      <c r="V289" t="str">
        <f t="shared" si="14"/>
        <v>No</v>
      </c>
    </row>
    <row r="290" spans="1:22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12"/>
        <v>1</v>
      </c>
      <c r="R290" t="str">
        <f t="shared" si="13"/>
        <v>Unique ID</v>
      </c>
      <c r="V290" t="str">
        <f t="shared" si="14"/>
        <v>No</v>
      </c>
    </row>
    <row r="291" spans="1:22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12"/>
        <v>1</v>
      </c>
      <c r="R291" t="str">
        <f t="shared" si="13"/>
        <v>Unique ID</v>
      </c>
      <c r="V291" t="str">
        <f t="shared" si="14"/>
        <v>No</v>
      </c>
    </row>
    <row r="292" spans="1:22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12"/>
        <v>1</v>
      </c>
      <c r="R292" t="str">
        <f t="shared" si="13"/>
        <v>Unique ID</v>
      </c>
      <c r="V292" t="str">
        <f t="shared" si="14"/>
        <v>No</v>
      </c>
    </row>
    <row r="293" spans="1:22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12"/>
        <v>1</v>
      </c>
      <c r="R293" t="str">
        <f t="shared" si="13"/>
        <v>Unique ID</v>
      </c>
      <c r="V293" t="str">
        <f t="shared" si="14"/>
        <v>No</v>
      </c>
    </row>
    <row r="294" spans="1:22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12"/>
        <v>1</v>
      </c>
      <c r="R294" t="str">
        <f t="shared" si="13"/>
        <v>Unique ID</v>
      </c>
      <c r="V294" t="str">
        <f t="shared" si="14"/>
        <v>No</v>
      </c>
    </row>
    <row r="295" spans="1:22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12"/>
        <v>1</v>
      </c>
      <c r="R295" t="str">
        <f t="shared" si="13"/>
        <v>Unique ID</v>
      </c>
      <c r="V295" t="str">
        <f t="shared" si="14"/>
        <v>No</v>
      </c>
    </row>
    <row r="296" spans="1:22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12"/>
        <v>1</v>
      </c>
      <c r="R296" t="str">
        <f t="shared" si="13"/>
        <v>Unique ID</v>
      </c>
      <c r="V296" t="str">
        <f t="shared" si="14"/>
        <v>No</v>
      </c>
    </row>
    <row r="297" spans="1:22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12"/>
        <v>1</v>
      </c>
      <c r="R297" t="str">
        <f t="shared" si="13"/>
        <v>Unique ID</v>
      </c>
      <c r="V297" t="str">
        <f t="shared" si="14"/>
        <v>No</v>
      </c>
    </row>
    <row r="298" spans="1:22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12"/>
        <v>1</v>
      </c>
      <c r="R298" t="str">
        <f t="shared" si="13"/>
        <v>Unique ID</v>
      </c>
      <c r="V298" t="str">
        <f t="shared" si="14"/>
        <v>No</v>
      </c>
    </row>
    <row r="299" spans="1:22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12"/>
        <v>1</v>
      </c>
      <c r="R299" t="str">
        <f t="shared" si="13"/>
        <v>Unique ID</v>
      </c>
      <c r="V299" t="str">
        <f t="shared" si="14"/>
        <v>No</v>
      </c>
    </row>
    <row r="300" spans="1:22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12"/>
        <v>1</v>
      </c>
      <c r="R300" t="str">
        <f t="shared" si="13"/>
        <v>Unique ID</v>
      </c>
      <c r="V300" t="str">
        <f t="shared" si="14"/>
        <v>No</v>
      </c>
    </row>
    <row r="301" spans="1:22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12"/>
        <v>1</v>
      </c>
      <c r="R301" t="str">
        <f t="shared" si="13"/>
        <v>Unique ID</v>
      </c>
      <c r="V301" t="str">
        <f t="shared" si="14"/>
        <v>Yes</v>
      </c>
    </row>
    <row r="302" spans="1:22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12"/>
        <v>1</v>
      </c>
      <c r="R302" t="str">
        <f t="shared" si="13"/>
        <v>Unique ID</v>
      </c>
      <c r="V302" t="str">
        <f t="shared" si="14"/>
        <v>No</v>
      </c>
    </row>
    <row r="303" spans="1:22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12"/>
        <v>1</v>
      </c>
      <c r="R303" t="str">
        <f t="shared" si="13"/>
        <v>Unique ID</v>
      </c>
      <c r="V303" t="str">
        <f t="shared" si="14"/>
        <v>No</v>
      </c>
    </row>
    <row r="304" spans="1:22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12"/>
        <v>1</v>
      </c>
      <c r="R304" t="str">
        <f t="shared" si="13"/>
        <v>Unique ID</v>
      </c>
      <c r="V304" t="str">
        <f t="shared" si="14"/>
        <v>Yes</v>
      </c>
    </row>
    <row r="305" spans="1:22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12"/>
        <v>1</v>
      </c>
      <c r="R305" t="str">
        <f t="shared" si="13"/>
        <v>Unique ID</v>
      </c>
      <c r="V305" t="str">
        <f t="shared" si="14"/>
        <v>No</v>
      </c>
    </row>
    <row r="306" spans="1:22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12"/>
        <v>1</v>
      </c>
      <c r="R306" t="str">
        <f t="shared" si="13"/>
        <v>Unique ID</v>
      </c>
      <c r="V306" t="str">
        <f t="shared" si="14"/>
        <v>No</v>
      </c>
    </row>
    <row r="307" spans="1:22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12"/>
        <v>1</v>
      </c>
      <c r="R307" t="str">
        <f t="shared" si="13"/>
        <v>Unique ID</v>
      </c>
      <c r="V307" t="str">
        <f t="shared" si="14"/>
        <v>No</v>
      </c>
    </row>
    <row r="308" spans="1:22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12"/>
        <v>1</v>
      </c>
      <c r="R308" t="str">
        <f t="shared" si="13"/>
        <v>Unique ID</v>
      </c>
      <c r="V308" t="str">
        <f t="shared" si="14"/>
        <v>No</v>
      </c>
    </row>
    <row r="309" spans="1:22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12"/>
        <v>1</v>
      </c>
      <c r="R309" t="str">
        <f t="shared" si="13"/>
        <v>Unique ID</v>
      </c>
      <c r="V309" t="str">
        <f t="shared" si="14"/>
        <v>Yes</v>
      </c>
    </row>
    <row r="310" spans="1:22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12"/>
        <v>1</v>
      </c>
      <c r="R310" t="str">
        <f t="shared" si="13"/>
        <v>Unique ID</v>
      </c>
      <c r="V310" t="str">
        <f t="shared" si="14"/>
        <v>No</v>
      </c>
    </row>
    <row r="311" spans="1:22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12"/>
        <v>1</v>
      </c>
      <c r="R311" t="str">
        <f t="shared" si="13"/>
        <v>Unique ID</v>
      </c>
      <c r="V311" t="str">
        <f t="shared" si="14"/>
        <v>No</v>
      </c>
    </row>
    <row r="312" spans="1:22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12"/>
        <v>1</v>
      </c>
      <c r="R312" t="str">
        <f t="shared" si="13"/>
        <v>Unique ID</v>
      </c>
      <c r="V312" t="str">
        <f t="shared" si="14"/>
        <v>No</v>
      </c>
    </row>
    <row r="313" spans="1:22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12"/>
        <v>1</v>
      </c>
      <c r="R313" t="str">
        <f t="shared" si="13"/>
        <v>Unique ID</v>
      </c>
      <c r="V313" t="str">
        <f t="shared" si="14"/>
        <v>No</v>
      </c>
    </row>
    <row r="314" spans="1:22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12"/>
        <v>1</v>
      </c>
      <c r="R314" t="str">
        <f t="shared" si="13"/>
        <v>Unique ID</v>
      </c>
      <c r="V314" t="str">
        <f t="shared" si="14"/>
        <v>No</v>
      </c>
    </row>
    <row r="315" spans="1:22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12"/>
        <v>1</v>
      </c>
      <c r="R315" t="str">
        <f t="shared" si="13"/>
        <v>Unique ID</v>
      </c>
      <c r="V315" t="str">
        <f t="shared" si="14"/>
        <v>No</v>
      </c>
    </row>
    <row r="316" spans="1:22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12"/>
        <v>1</v>
      </c>
      <c r="R316" t="str">
        <f t="shared" si="13"/>
        <v>Unique ID</v>
      </c>
      <c r="V316" t="str">
        <f t="shared" si="14"/>
        <v>No</v>
      </c>
    </row>
    <row r="317" spans="1:22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12"/>
        <v>1</v>
      </c>
      <c r="R317" t="str">
        <f t="shared" si="13"/>
        <v>Unique ID</v>
      </c>
      <c r="V317" t="str">
        <f t="shared" si="14"/>
        <v>No</v>
      </c>
    </row>
    <row r="318" spans="1:22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12"/>
        <v>1</v>
      </c>
      <c r="R318" t="str">
        <f t="shared" si="13"/>
        <v>Unique ID</v>
      </c>
      <c r="V318" t="str">
        <f t="shared" si="14"/>
        <v>No</v>
      </c>
    </row>
    <row r="319" spans="1:22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12"/>
        <v>1</v>
      </c>
      <c r="R319" t="str">
        <f t="shared" si="13"/>
        <v>Unique ID</v>
      </c>
      <c r="V319" t="str">
        <f t="shared" si="14"/>
        <v>No</v>
      </c>
    </row>
    <row r="320" spans="1:22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12"/>
        <v>1</v>
      </c>
      <c r="R320" t="str">
        <f t="shared" si="13"/>
        <v>Unique ID</v>
      </c>
      <c r="V320" t="str">
        <f t="shared" si="14"/>
        <v>No</v>
      </c>
    </row>
    <row r="321" spans="1:22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12"/>
        <v>1</v>
      </c>
      <c r="R321" t="str">
        <f t="shared" si="13"/>
        <v>Unique ID</v>
      </c>
      <c r="V321" t="str">
        <f t="shared" si="14"/>
        <v>No</v>
      </c>
    </row>
    <row r="322" spans="1:22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12"/>
        <v>1</v>
      </c>
      <c r="R322" t="str">
        <f t="shared" si="13"/>
        <v>Unique ID</v>
      </c>
      <c r="V322" t="str">
        <f t="shared" si="14"/>
        <v>No</v>
      </c>
    </row>
    <row r="323" spans="1:22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15">COUNTIF($A:$A,A323)</f>
        <v>1</v>
      </c>
      <c r="R323" t="str">
        <f t="shared" ref="R323:R386" si="16">IF(Q323&gt;1,"Duplicate ID","Unique ID")</f>
        <v>Unique ID</v>
      </c>
      <c r="V323" t="str">
        <f t="shared" ref="V323:V386" si="17">IF(OR(L323&lt;$U$5,L323&gt;$U$6),"Yes","No")</f>
        <v>No</v>
      </c>
    </row>
    <row r="324" spans="1:22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5"/>
        <v>1</v>
      </c>
      <c r="R324" t="str">
        <f t="shared" si="16"/>
        <v>Unique ID</v>
      </c>
      <c r="V324" t="str">
        <f t="shared" si="17"/>
        <v>No</v>
      </c>
    </row>
    <row r="325" spans="1:22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5"/>
        <v>1</v>
      </c>
      <c r="R325" t="str">
        <f t="shared" si="16"/>
        <v>Unique ID</v>
      </c>
      <c r="V325" t="str">
        <f t="shared" si="17"/>
        <v>No</v>
      </c>
    </row>
    <row r="326" spans="1:22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5"/>
        <v>1</v>
      </c>
      <c r="R326" t="str">
        <f t="shared" si="16"/>
        <v>Unique ID</v>
      </c>
      <c r="V326" t="str">
        <f t="shared" si="17"/>
        <v>No</v>
      </c>
    </row>
    <row r="327" spans="1:22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5"/>
        <v>1</v>
      </c>
      <c r="R327" t="str">
        <f t="shared" si="16"/>
        <v>Unique ID</v>
      </c>
      <c r="V327" t="str">
        <f t="shared" si="17"/>
        <v>No</v>
      </c>
    </row>
    <row r="328" spans="1:22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5"/>
        <v>1</v>
      </c>
      <c r="R328" t="str">
        <f t="shared" si="16"/>
        <v>Unique ID</v>
      </c>
      <c r="V328" t="str">
        <f t="shared" si="17"/>
        <v>No</v>
      </c>
    </row>
    <row r="329" spans="1:22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5"/>
        <v>1</v>
      </c>
      <c r="R329" t="str">
        <f t="shared" si="16"/>
        <v>Unique ID</v>
      </c>
      <c r="V329" t="str">
        <f t="shared" si="17"/>
        <v>No</v>
      </c>
    </row>
    <row r="330" spans="1:22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5"/>
        <v>1</v>
      </c>
      <c r="R330" t="str">
        <f t="shared" si="16"/>
        <v>Unique ID</v>
      </c>
      <c r="V330" t="str">
        <f t="shared" si="17"/>
        <v>No</v>
      </c>
    </row>
    <row r="331" spans="1:22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5"/>
        <v>1</v>
      </c>
      <c r="R331" t="str">
        <f t="shared" si="16"/>
        <v>Unique ID</v>
      </c>
      <c r="V331" t="str">
        <f t="shared" si="17"/>
        <v>No</v>
      </c>
    </row>
    <row r="332" spans="1:22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5"/>
        <v>1</v>
      </c>
      <c r="R332" t="str">
        <f t="shared" si="16"/>
        <v>Unique ID</v>
      </c>
      <c r="V332" t="str">
        <f t="shared" si="17"/>
        <v>Yes</v>
      </c>
    </row>
    <row r="333" spans="1:22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5"/>
        <v>1</v>
      </c>
      <c r="R333" t="str">
        <f t="shared" si="16"/>
        <v>Unique ID</v>
      </c>
      <c r="V333" t="str">
        <f t="shared" si="17"/>
        <v>No</v>
      </c>
    </row>
    <row r="334" spans="1:22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5"/>
        <v>1</v>
      </c>
      <c r="R334" t="str">
        <f t="shared" si="16"/>
        <v>Unique ID</v>
      </c>
      <c r="V334" t="str">
        <f t="shared" si="17"/>
        <v>No</v>
      </c>
    </row>
    <row r="335" spans="1:22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5"/>
        <v>1</v>
      </c>
      <c r="R335" t="str">
        <f t="shared" si="16"/>
        <v>Unique ID</v>
      </c>
      <c r="V335" t="str">
        <f t="shared" si="17"/>
        <v>No</v>
      </c>
    </row>
    <row r="336" spans="1:22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5"/>
        <v>1</v>
      </c>
      <c r="R336" t="str">
        <f t="shared" si="16"/>
        <v>Unique ID</v>
      </c>
      <c r="V336" t="str">
        <f t="shared" si="17"/>
        <v>Yes</v>
      </c>
    </row>
    <row r="337" spans="1:22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5"/>
        <v>1</v>
      </c>
      <c r="R337" t="str">
        <f t="shared" si="16"/>
        <v>Unique ID</v>
      </c>
      <c r="V337" t="str">
        <f t="shared" si="17"/>
        <v>Yes</v>
      </c>
    </row>
    <row r="338" spans="1:22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5"/>
        <v>1</v>
      </c>
      <c r="R338" t="str">
        <f t="shared" si="16"/>
        <v>Unique ID</v>
      </c>
      <c r="V338" t="str">
        <f t="shared" si="17"/>
        <v>No</v>
      </c>
    </row>
    <row r="339" spans="1:22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5"/>
        <v>1</v>
      </c>
      <c r="R339" t="str">
        <f t="shared" si="16"/>
        <v>Unique ID</v>
      </c>
      <c r="V339" t="str">
        <f t="shared" si="17"/>
        <v>No</v>
      </c>
    </row>
    <row r="340" spans="1:22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5"/>
        <v>1</v>
      </c>
      <c r="R340" t="str">
        <f t="shared" si="16"/>
        <v>Unique ID</v>
      </c>
      <c r="V340" t="str">
        <f t="shared" si="17"/>
        <v>No</v>
      </c>
    </row>
    <row r="341" spans="1:22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5"/>
        <v>1</v>
      </c>
      <c r="R341" t="str">
        <f t="shared" si="16"/>
        <v>Unique ID</v>
      </c>
      <c r="V341" t="str">
        <f t="shared" si="17"/>
        <v>No</v>
      </c>
    </row>
    <row r="342" spans="1:22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5"/>
        <v>1</v>
      </c>
      <c r="R342" t="str">
        <f t="shared" si="16"/>
        <v>Unique ID</v>
      </c>
      <c r="V342" t="str">
        <f t="shared" si="17"/>
        <v>No</v>
      </c>
    </row>
    <row r="343" spans="1:22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5"/>
        <v>1</v>
      </c>
      <c r="R343" t="str">
        <f t="shared" si="16"/>
        <v>Unique ID</v>
      </c>
      <c r="V343" t="str">
        <f t="shared" si="17"/>
        <v>No</v>
      </c>
    </row>
    <row r="344" spans="1:22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5"/>
        <v>1</v>
      </c>
      <c r="R344" t="str">
        <f t="shared" si="16"/>
        <v>Unique ID</v>
      </c>
      <c r="V344" t="str">
        <f t="shared" si="17"/>
        <v>No</v>
      </c>
    </row>
    <row r="345" spans="1:22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5"/>
        <v>1</v>
      </c>
      <c r="R345" t="str">
        <f t="shared" si="16"/>
        <v>Unique ID</v>
      </c>
      <c r="V345" t="str">
        <f t="shared" si="17"/>
        <v>No</v>
      </c>
    </row>
    <row r="346" spans="1:22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5"/>
        <v>1</v>
      </c>
      <c r="R346" t="str">
        <f t="shared" si="16"/>
        <v>Unique ID</v>
      </c>
      <c r="V346" t="str">
        <f t="shared" si="17"/>
        <v>No</v>
      </c>
    </row>
    <row r="347" spans="1:22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5"/>
        <v>1</v>
      </c>
      <c r="R347" t="str">
        <f t="shared" si="16"/>
        <v>Unique ID</v>
      </c>
      <c r="V347" t="str">
        <f t="shared" si="17"/>
        <v>No</v>
      </c>
    </row>
    <row r="348" spans="1:22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5"/>
        <v>1</v>
      </c>
      <c r="R348" t="str">
        <f t="shared" si="16"/>
        <v>Unique ID</v>
      </c>
      <c r="V348" t="str">
        <f t="shared" si="17"/>
        <v>No</v>
      </c>
    </row>
    <row r="349" spans="1:22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5"/>
        <v>1</v>
      </c>
      <c r="R349" t="str">
        <f t="shared" si="16"/>
        <v>Unique ID</v>
      </c>
      <c r="V349" t="str">
        <f t="shared" si="17"/>
        <v>No</v>
      </c>
    </row>
    <row r="350" spans="1:22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5"/>
        <v>1</v>
      </c>
      <c r="R350" t="str">
        <f t="shared" si="16"/>
        <v>Unique ID</v>
      </c>
      <c r="V350" t="str">
        <f t="shared" si="17"/>
        <v>No</v>
      </c>
    </row>
    <row r="351" spans="1:22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5"/>
        <v>1</v>
      </c>
      <c r="R351" t="str">
        <f t="shared" si="16"/>
        <v>Unique ID</v>
      </c>
      <c r="V351" t="str">
        <f t="shared" si="17"/>
        <v>No</v>
      </c>
    </row>
    <row r="352" spans="1:22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5"/>
        <v>1</v>
      </c>
      <c r="R352" t="str">
        <f t="shared" si="16"/>
        <v>Unique ID</v>
      </c>
      <c r="V352" t="str">
        <f t="shared" si="17"/>
        <v>No</v>
      </c>
    </row>
    <row r="353" spans="1:22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5"/>
        <v>1</v>
      </c>
      <c r="R353" t="str">
        <f t="shared" si="16"/>
        <v>Unique ID</v>
      </c>
      <c r="V353" t="str">
        <f t="shared" si="17"/>
        <v>No</v>
      </c>
    </row>
    <row r="354" spans="1:22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5"/>
        <v>1</v>
      </c>
      <c r="R354" t="str">
        <f t="shared" si="16"/>
        <v>Unique ID</v>
      </c>
      <c r="V354" t="str">
        <f t="shared" si="17"/>
        <v>No</v>
      </c>
    </row>
    <row r="355" spans="1:22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5"/>
        <v>1</v>
      </c>
      <c r="R355" t="str">
        <f t="shared" si="16"/>
        <v>Unique ID</v>
      </c>
      <c r="V355" t="str">
        <f t="shared" si="17"/>
        <v>No</v>
      </c>
    </row>
    <row r="356" spans="1:22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5"/>
        <v>1</v>
      </c>
      <c r="R356" t="str">
        <f t="shared" si="16"/>
        <v>Unique ID</v>
      </c>
      <c r="V356" t="str">
        <f t="shared" si="17"/>
        <v>No</v>
      </c>
    </row>
    <row r="357" spans="1:22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5"/>
        <v>1</v>
      </c>
      <c r="R357" t="str">
        <f t="shared" si="16"/>
        <v>Unique ID</v>
      </c>
      <c r="V357" t="str">
        <f t="shared" si="17"/>
        <v>No</v>
      </c>
    </row>
    <row r="358" spans="1:22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5"/>
        <v>1</v>
      </c>
      <c r="R358" t="str">
        <f t="shared" si="16"/>
        <v>Unique ID</v>
      </c>
      <c r="V358" t="str">
        <f t="shared" si="17"/>
        <v>No</v>
      </c>
    </row>
    <row r="359" spans="1:22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5"/>
        <v>1</v>
      </c>
      <c r="R359" t="str">
        <f t="shared" si="16"/>
        <v>Unique ID</v>
      </c>
      <c r="V359" t="str">
        <f t="shared" si="17"/>
        <v>No</v>
      </c>
    </row>
    <row r="360" spans="1:22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5"/>
        <v>1</v>
      </c>
      <c r="R360" t="str">
        <f t="shared" si="16"/>
        <v>Unique ID</v>
      </c>
      <c r="V360" t="str">
        <f t="shared" si="17"/>
        <v>No</v>
      </c>
    </row>
    <row r="361" spans="1:22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5"/>
        <v>1</v>
      </c>
      <c r="R361" t="str">
        <f t="shared" si="16"/>
        <v>Unique ID</v>
      </c>
      <c r="V361" t="str">
        <f t="shared" si="17"/>
        <v>No</v>
      </c>
    </row>
    <row r="362" spans="1:22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5"/>
        <v>1</v>
      </c>
      <c r="R362" t="str">
        <f t="shared" si="16"/>
        <v>Unique ID</v>
      </c>
      <c r="V362" t="str">
        <f t="shared" si="17"/>
        <v>No</v>
      </c>
    </row>
    <row r="363" spans="1:22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5"/>
        <v>1</v>
      </c>
      <c r="R363" t="str">
        <f t="shared" si="16"/>
        <v>Unique ID</v>
      </c>
      <c r="V363" t="str">
        <f t="shared" si="17"/>
        <v>No</v>
      </c>
    </row>
    <row r="364" spans="1:22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5"/>
        <v>1</v>
      </c>
      <c r="R364" t="str">
        <f t="shared" si="16"/>
        <v>Unique ID</v>
      </c>
      <c r="V364" t="str">
        <f t="shared" si="17"/>
        <v>No</v>
      </c>
    </row>
    <row r="365" spans="1:22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5"/>
        <v>1</v>
      </c>
      <c r="R365" t="str">
        <f t="shared" si="16"/>
        <v>Unique ID</v>
      </c>
      <c r="V365" t="str">
        <f t="shared" si="17"/>
        <v>No</v>
      </c>
    </row>
    <row r="366" spans="1:22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5"/>
        <v>1</v>
      </c>
      <c r="R366" t="str">
        <f t="shared" si="16"/>
        <v>Unique ID</v>
      </c>
      <c r="V366" t="str">
        <f t="shared" si="17"/>
        <v>No</v>
      </c>
    </row>
    <row r="367" spans="1:22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5"/>
        <v>1</v>
      </c>
      <c r="R367" t="str">
        <f t="shared" si="16"/>
        <v>Unique ID</v>
      </c>
      <c r="V367" t="str">
        <f t="shared" si="17"/>
        <v>No</v>
      </c>
    </row>
    <row r="368" spans="1:22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5"/>
        <v>1</v>
      </c>
      <c r="R368" t="str">
        <f t="shared" si="16"/>
        <v>Unique ID</v>
      </c>
      <c r="V368" t="str">
        <f t="shared" si="17"/>
        <v>No</v>
      </c>
    </row>
    <row r="369" spans="1:22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5"/>
        <v>1</v>
      </c>
      <c r="R369" t="str">
        <f t="shared" si="16"/>
        <v>Unique ID</v>
      </c>
      <c r="V369" t="str">
        <f t="shared" si="17"/>
        <v>No</v>
      </c>
    </row>
    <row r="370" spans="1:22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5"/>
        <v>1</v>
      </c>
      <c r="R370" t="str">
        <f t="shared" si="16"/>
        <v>Unique ID</v>
      </c>
      <c r="V370" t="str">
        <f t="shared" si="17"/>
        <v>No</v>
      </c>
    </row>
    <row r="371" spans="1:22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5"/>
        <v>1</v>
      </c>
      <c r="R371" t="str">
        <f t="shared" si="16"/>
        <v>Unique ID</v>
      </c>
      <c r="V371" t="str">
        <f t="shared" si="17"/>
        <v>No</v>
      </c>
    </row>
    <row r="372" spans="1:22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5"/>
        <v>1</v>
      </c>
      <c r="R372" t="str">
        <f t="shared" si="16"/>
        <v>Unique ID</v>
      </c>
      <c r="V372" t="str">
        <f t="shared" si="17"/>
        <v>No</v>
      </c>
    </row>
    <row r="373" spans="1:22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5"/>
        <v>1</v>
      </c>
      <c r="R373" t="str">
        <f t="shared" si="16"/>
        <v>Unique ID</v>
      </c>
      <c r="V373" t="str">
        <f t="shared" si="17"/>
        <v>No</v>
      </c>
    </row>
    <row r="374" spans="1:22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5"/>
        <v>1</v>
      </c>
      <c r="R374" t="str">
        <f t="shared" si="16"/>
        <v>Unique ID</v>
      </c>
      <c r="V374" t="str">
        <f t="shared" si="17"/>
        <v>No</v>
      </c>
    </row>
    <row r="375" spans="1:22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5"/>
        <v>1</v>
      </c>
      <c r="R375" t="str">
        <f t="shared" si="16"/>
        <v>Unique ID</v>
      </c>
      <c r="V375" t="str">
        <f t="shared" si="17"/>
        <v>No</v>
      </c>
    </row>
    <row r="376" spans="1:22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5"/>
        <v>1</v>
      </c>
      <c r="R376" t="str">
        <f t="shared" si="16"/>
        <v>Unique ID</v>
      </c>
      <c r="V376" t="str">
        <f t="shared" si="17"/>
        <v>No</v>
      </c>
    </row>
    <row r="377" spans="1:22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5"/>
        <v>1</v>
      </c>
      <c r="R377" t="str">
        <f t="shared" si="16"/>
        <v>Unique ID</v>
      </c>
      <c r="V377" t="str">
        <f t="shared" si="17"/>
        <v>No</v>
      </c>
    </row>
    <row r="378" spans="1:22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5"/>
        <v>1</v>
      </c>
      <c r="R378" t="str">
        <f t="shared" si="16"/>
        <v>Unique ID</v>
      </c>
      <c r="V378" t="str">
        <f t="shared" si="17"/>
        <v>No</v>
      </c>
    </row>
    <row r="379" spans="1:22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5"/>
        <v>1</v>
      </c>
      <c r="R379" t="str">
        <f t="shared" si="16"/>
        <v>Unique ID</v>
      </c>
      <c r="V379" t="str">
        <f t="shared" si="17"/>
        <v>No</v>
      </c>
    </row>
    <row r="380" spans="1:22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5"/>
        <v>1</v>
      </c>
      <c r="R380" t="str">
        <f t="shared" si="16"/>
        <v>Unique ID</v>
      </c>
      <c r="V380" t="str">
        <f t="shared" si="17"/>
        <v>No</v>
      </c>
    </row>
    <row r="381" spans="1:22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5"/>
        <v>1</v>
      </c>
      <c r="R381" t="str">
        <f t="shared" si="16"/>
        <v>Unique ID</v>
      </c>
      <c r="V381" t="str">
        <f t="shared" si="17"/>
        <v>No</v>
      </c>
    </row>
    <row r="382" spans="1:22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5"/>
        <v>1</v>
      </c>
      <c r="R382" t="str">
        <f t="shared" si="16"/>
        <v>Unique ID</v>
      </c>
      <c r="V382" t="str">
        <f t="shared" si="17"/>
        <v>No</v>
      </c>
    </row>
    <row r="383" spans="1:22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5"/>
        <v>1</v>
      </c>
      <c r="R383" t="str">
        <f t="shared" si="16"/>
        <v>Unique ID</v>
      </c>
      <c r="V383" t="str">
        <f t="shared" si="17"/>
        <v>No</v>
      </c>
    </row>
    <row r="384" spans="1:22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5"/>
        <v>1</v>
      </c>
      <c r="R384" t="str">
        <f t="shared" si="16"/>
        <v>Unique ID</v>
      </c>
      <c r="V384" t="str">
        <f t="shared" si="17"/>
        <v>No</v>
      </c>
    </row>
    <row r="385" spans="1:22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5"/>
        <v>1</v>
      </c>
      <c r="R385" t="str">
        <f t="shared" si="16"/>
        <v>Unique ID</v>
      </c>
      <c r="V385" t="str">
        <f t="shared" si="17"/>
        <v>No</v>
      </c>
    </row>
    <row r="386" spans="1:22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15"/>
        <v>1</v>
      </c>
      <c r="R386" t="str">
        <f t="shared" si="16"/>
        <v>Unique ID</v>
      </c>
      <c r="V386" t="str">
        <f t="shared" si="17"/>
        <v>No</v>
      </c>
    </row>
    <row r="387" spans="1:22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18">COUNTIF($A:$A,A387)</f>
        <v>1</v>
      </c>
      <c r="R387" t="str">
        <f t="shared" ref="R387:R450" si="19">IF(Q387&gt;1,"Duplicate ID","Unique ID")</f>
        <v>Unique ID</v>
      </c>
      <c r="V387" t="str">
        <f t="shared" ref="V387:V450" si="20">IF(OR(L387&lt;$U$5,L387&gt;$U$6),"Yes","No")</f>
        <v>No</v>
      </c>
    </row>
    <row r="388" spans="1:22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8"/>
        <v>1</v>
      </c>
      <c r="R388" t="str">
        <f t="shared" si="19"/>
        <v>Unique ID</v>
      </c>
      <c r="V388" t="str">
        <f t="shared" si="20"/>
        <v>No</v>
      </c>
    </row>
    <row r="389" spans="1:22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8"/>
        <v>1</v>
      </c>
      <c r="R389" t="str">
        <f t="shared" si="19"/>
        <v>Unique ID</v>
      </c>
      <c r="V389" t="str">
        <f t="shared" si="20"/>
        <v>No</v>
      </c>
    </row>
    <row r="390" spans="1:22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8"/>
        <v>1</v>
      </c>
      <c r="R390" t="str">
        <f t="shared" si="19"/>
        <v>Unique ID</v>
      </c>
      <c r="V390" t="str">
        <f t="shared" si="20"/>
        <v>No</v>
      </c>
    </row>
    <row r="391" spans="1:22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8"/>
        <v>1</v>
      </c>
      <c r="R391" t="str">
        <f t="shared" si="19"/>
        <v>Unique ID</v>
      </c>
      <c r="V391" t="str">
        <f t="shared" si="20"/>
        <v>No</v>
      </c>
    </row>
    <row r="392" spans="1:22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8"/>
        <v>1</v>
      </c>
      <c r="R392" t="str">
        <f t="shared" si="19"/>
        <v>Unique ID</v>
      </c>
      <c r="V392" t="str">
        <f t="shared" si="20"/>
        <v>No</v>
      </c>
    </row>
    <row r="393" spans="1:22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8"/>
        <v>1</v>
      </c>
      <c r="R393" t="str">
        <f t="shared" si="19"/>
        <v>Unique ID</v>
      </c>
      <c r="V393" t="str">
        <f t="shared" si="20"/>
        <v>No</v>
      </c>
    </row>
    <row r="394" spans="1:22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8"/>
        <v>1</v>
      </c>
      <c r="R394" t="str">
        <f t="shared" si="19"/>
        <v>Unique ID</v>
      </c>
      <c r="V394" t="str">
        <f t="shared" si="20"/>
        <v>No</v>
      </c>
    </row>
    <row r="395" spans="1:22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8"/>
        <v>1</v>
      </c>
      <c r="R395" t="str">
        <f t="shared" si="19"/>
        <v>Unique ID</v>
      </c>
      <c r="V395" t="str">
        <f t="shared" si="20"/>
        <v>No</v>
      </c>
    </row>
    <row r="396" spans="1:22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8"/>
        <v>1</v>
      </c>
      <c r="R396" t="str">
        <f t="shared" si="19"/>
        <v>Unique ID</v>
      </c>
      <c r="V396" t="str">
        <f t="shared" si="20"/>
        <v>No</v>
      </c>
    </row>
    <row r="397" spans="1:22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8"/>
        <v>1</v>
      </c>
      <c r="R397" t="str">
        <f t="shared" si="19"/>
        <v>Unique ID</v>
      </c>
      <c r="V397" t="str">
        <f t="shared" si="20"/>
        <v>No</v>
      </c>
    </row>
    <row r="398" spans="1:22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8"/>
        <v>1</v>
      </c>
      <c r="R398" t="str">
        <f t="shared" si="19"/>
        <v>Unique ID</v>
      </c>
      <c r="V398" t="str">
        <f t="shared" si="20"/>
        <v>No</v>
      </c>
    </row>
    <row r="399" spans="1:22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8"/>
        <v>1</v>
      </c>
      <c r="R399" t="str">
        <f t="shared" si="19"/>
        <v>Unique ID</v>
      </c>
      <c r="V399" t="str">
        <f t="shared" si="20"/>
        <v>No</v>
      </c>
    </row>
    <row r="400" spans="1:22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8"/>
        <v>1</v>
      </c>
      <c r="R400" t="str">
        <f t="shared" si="19"/>
        <v>Unique ID</v>
      </c>
      <c r="V400" t="str">
        <f t="shared" si="20"/>
        <v>No</v>
      </c>
    </row>
    <row r="401" spans="1:22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8"/>
        <v>1</v>
      </c>
      <c r="R401" t="str">
        <f t="shared" si="19"/>
        <v>Unique ID</v>
      </c>
      <c r="V401" t="str">
        <f t="shared" si="20"/>
        <v>No</v>
      </c>
    </row>
    <row r="402" spans="1:22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8"/>
        <v>1</v>
      </c>
      <c r="R402" t="str">
        <f t="shared" si="19"/>
        <v>Unique ID</v>
      </c>
      <c r="V402" t="str">
        <f t="shared" si="20"/>
        <v>No</v>
      </c>
    </row>
    <row r="403" spans="1:22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8"/>
        <v>1</v>
      </c>
      <c r="R403" t="str">
        <f t="shared" si="19"/>
        <v>Unique ID</v>
      </c>
      <c r="V403" t="str">
        <f t="shared" si="20"/>
        <v>No</v>
      </c>
    </row>
    <row r="404" spans="1:22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8"/>
        <v>1</v>
      </c>
      <c r="R404" t="str">
        <f t="shared" si="19"/>
        <v>Unique ID</v>
      </c>
      <c r="V404" t="str">
        <f t="shared" si="20"/>
        <v>No</v>
      </c>
    </row>
    <row r="405" spans="1:22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8"/>
        <v>1</v>
      </c>
      <c r="R405" t="str">
        <f t="shared" si="19"/>
        <v>Unique ID</v>
      </c>
      <c r="V405" t="str">
        <f t="shared" si="20"/>
        <v>No</v>
      </c>
    </row>
    <row r="406" spans="1:22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8"/>
        <v>1</v>
      </c>
      <c r="R406" t="str">
        <f t="shared" si="19"/>
        <v>Unique ID</v>
      </c>
      <c r="V406" t="str">
        <f t="shared" si="20"/>
        <v>No</v>
      </c>
    </row>
    <row r="407" spans="1:22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8"/>
        <v>1</v>
      </c>
      <c r="R407" t="str">
        <f t="shared" si="19"/>
        <v>Unique ID</v>
      </c>
      <c r="V407" t="str">
        <f t="shared" si="20"/>
        <v>No</v>
      </c>
    </row>
    <row r="408" spans="1:22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8"/>
        <v>1</v>
      </c>
      <c r="R408" t="str">
        <f t="shared" si="19"/>
        <v>Unique ID</v>
      </c>
      <c r="V408" t="str">
        <f t="shared" si="20"/>
        <v>No</v>
      </c>
    </row>
    <row r="409" spans="1:22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8"/>
        <v>1</v>
      </c>
      <c r="R409" t="str">
        <f t="shared" si="19"/>
        <v>Unique ID</v>
      </c>
      <c r="V409" t="str">
        <f t="shared" si="20"/>
        <v>No</v>
      </c>
    </row>
    <row r="410" spans="1:22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8"/>
        <v>1</v>
      </c>
      <c r="R410" t="str">
        <f t="shared" si="19"/>
        <v>Unique ID</v>
      </c>
      <c r="V410" t="str">
        <f t="shared" si="20"/>
        <v>No</v>
      </c>
    </row>
    <row r="411" spans="1:22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8"/>
        <v>1</v>
      </c>
      <c r="R411" t="str">
        <f t="shared" si="19"/>
        <v>Unique ID</v>
      </c>
      <c r="V411" t="str">
        <f t="shared" si="20"/>
        <v>No</v>
      </c>
    </row>
    <row r="412" spans="1:22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8"/>
        <v>1</v>
      </c>
      <c r="R412" t="str">
        <f t="shared" si="19"/>
        <v>Unique ID</v>
      </c>
      <c r="V412" t="str">
        <f t="shared" si="20"/>
        <v>Yes</v>
      </c>
    </row>
    <row r="413" spans="1:22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8"/>
        <v>1</v>
      </c>
      <c r="R413" t="str">
        <f t="shared" si="19"/>
        <v>Unique ID</v>
      </c>
      <c r="V413" t="str">
        <f t="shared" si="20"/>
        <v>No</v>
      </c>
    </row>
    <row r="414" spans="1:22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8"/>
        <v>1</v>
      </c>
      <c r="R414" t="str">
        <f t="shared" si="19"/>
        <v>Unique ID</v>
      </c>
      <c r="V414" t="str">
        <f t="shared" si="20"/>
        <v>No</v>
      </c>
    </row>
    <row r="415" spans="1:22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8"/>
        <v>1</v>
      </c>
      <c r="R415" t="str">
        <f t="shared" si="19"/>
        <v>Unique ID</v>
      </c>
      <c r="V415" t="str">
        <f t="shared" si="20"/>
        <v>No</v>
      </c>
    </row>
    <row r="416" spans="1:22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8"/>
        <v>1</v>
      </c>
      <c r="R416" t="str">
        <f t="shared" si="19"/>
        <v>Unique ID</v>
      </c>
      <c r="V416" t="str">
        <f t="shared" si="20"/>
        <v>No</v>
      </c>
    </row>
    <row r="417" spans="1:22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8"/>
        <v>1</v>
      </c>
      <c r="R417" t="str">
        <f t="shared" si="19"/>
        <v>Unique ID</v>
      </c>
      <c r="V417" t="str">
        <f t="shared" si="20"/>
        <v>No</v>
      </c>
    </row>
    <row r="418" spans="1:22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8"/>
        <v>1</v>
      </c>
      <c r="R418" t="str">
        <f t="shared" si="19"/>
        <v>Unique ID</v>
      </c>
      <c r="V418" t="str">
        <f t="shared" si="20"/>
        <v>No</v>
      </c>
    </row>
    <row r="419" spans="1:22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8"/>
        <v>1</v>
      </c>
      <c r="R419" t="str">
        <f t="shared" si="19"/>
        <v>Unique ID</v>
      </c>
      <c r="V419" t="str">
        <f t="shared" si="20"/>
        <v>No</v>
      </c>
    </row>
    <row r="420" spans="1:22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8"/>
        <v>1</v>
      </c>
      <c r="R420" t="str">
        <f t="shared" si="19"/>
        <v>Unique ID</v>
      </c>
      <c r="V420" t="str">
        <f t="shared" si="20"/>
        <v>No</v>
      </c>
    </row>
    <row r="421" spans="1:22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8"/>
        <v>1</v>
      </c>
      <c r="R421" t="str">
        <f t="shared" si="19"/>
        <v>Unique ID</v>
      </c>
      <c r="V421" t="str">
        <f t="shared" si="20"/>
        <v>No</v>
      </c>
    </row>
    <row r="422" spans="1:22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8"/>
        <v>1</v>
      </c>
      <c r="R422" t="str">
        <f t="shared" si="19"/>
        <v>Unique ID</v>
      </c>
      <c r="V422" t="str">
        <f t="shared" si="20"/>
        <v>No</v>
      </c>
    </row>
    <row r="423" spans="1:22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8"/>
        <v>1</v>
      </c>
      <c r="R423" t="str">
        <f t="shared" si="19"/>
        <v>Unique ID</v>
      </c>
      <c r="V423" t="str">
        <f t="shared" si="20"/>
        <v>No</v>
      </c>
    </row>
    <row r="424" spans="1:22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8"/>
        <v>1</v>
      </c>
      <c r="R424" t="str">
        <f t="shared" si="19"/>
        <v>Unique ID</v>
      </c>
      <c r="V424" t="str">
        <f t="shared" si="20"/>
        <v>No</v>
      </c>
    </row>
    <row r="425" spans="1:22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8"/>
        <v>1</v>
      </c>
      <c r="R425" t="str">
        <f t="shared" si="19"/>
        <v>Unique ID</v>
      </c>
      <c r="V425" t="str">
        <f t="shared" si="20"/>
        <v>No</v>
      </c>
    </row>
    <row r="426" spans="1:22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8"/>
        <v>1</v>
      </c>
      <c r="R426" t="str">
        <f t="shared" si="19"/>
        <v>Unique ID</v>
      </c>
      <c r="V426" t="str">
        <f t="shared" si="20"/>
        <v>No</v>
      </c>
    </row>
    <row r="427" spans="1:22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8"/>
        <v>1</v>
      </c>
      <c r="R427" t="str">
        <f t="shared" si="19"/>
        <v>Unique ID</v>
      </c>
      <c r="V427" t="str">
        <f t="shared" si="20"/>
        <v>No</v>
      </c>
    </row>
    <row r="428" spans="1:22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8"/>
        <v>1</v>
      </c>
      <c r="R428" t="str">
        <f t="shared" si="19"/>
        <v>Unique ID</v>
      </c>
      <c r="V428" t="str">
        <f t="shared" si="20"/>
        <v>No</v>
      </c>
    </row>
    <row r="429" spans="1:22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8"/>
        <v>1</v>
      </c>
      <c r="R429" t="str">
        <f t="shared" si="19"/>
        <v>Unique ID</v>
      </c>
      <c r="V429" t="str">
        <f t="shared" si="20"/>
        <v>No</v>
      </c>
    </row>
    <row r="430" spans="1:22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8"/>
        <v>1</v>
      </c>
      <c r="R430" t="str">
        <f t="shared" si="19"/>
        <v>Unique ID</v>
      </c>
      <c r="V430" t="str">
        <f t="shared" si="20"/>
        <v>No</v>
      </c>
    </row>
    <row r="431" spans="1:22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8"/>
        <v>1</v>
      </c>
      <c r="R431" t="str">
        <f t="shared" si="19"/>
        <v>Unique ID</v>
      </c>
      <c r="V431" t="str">
        <f t="shared" si="20"/>
        <v>No</v>
      </c>
    </row>
    <row r="432" spans="1:22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8"/>
        <v>1</v>
      </c>
      <c r="R432" t="str">
        <f t="shared" si="19"/>
        <v>Unique ID</v>
      </c>
      <c r="V432" t="str">
        <f t="shared" si="20"/>
        <v>No</v>
      </c>
    </row>
    <row r="433" spans="1:22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8"/>
        <v>1</v>
      </c>
      <c r="R433" t="str">
        <f t="shared" si="19"/>
        <v>Unique ID</v>
      </c>
      <c r="V433" t="str">
        <f t="shared" si="20"/>
        <v>No</v>
      </c>
    </row>
    <row r="434" spans="1:22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8"/>
        <v>2</v>
      </c>
      <c r="R434" t="str">
        <f t="shared" si="19"/>
        <v>Duplicate ID</v>
      </c>
      <c r="V434" t="str">
        <f t="shared" si="20"/>
        <v>No</v>
      </c>
    </row>
    <row r="435" spans="1:22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8"/>
        <v>1</v>
      </c>
      <c r="R435" t="str">
        <f t="shared" si="19"/>
        <v>Unique ID</v>
      </c>
      <c r="V435" t="str">
        <f t="shared" si="20"/>
        <v>No</v>
      </c>
    </row>
    <row r="436" spans="1:22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8"/>
        <v>1</v>
      </c>
      <c r="R436" t="str">
        <f t="shared" si="19"/>
        <v>Unique ID</v>
      </c>
      <c r="V436" t="str">
        <f t="shared" si="20"/>
        <v>No</v>
      </c>
    </row>
    <row r="437" spans="1:22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8"/>
        <v>1</v>
      </c>
      <c r="R437" t="str">
        <f t="shared" si="19"/>
        <v>Unique ID</v>
      </c>
      <c r="V437" t="str">
        <f t="shared" si="20"/>
        <v>No</v>
      </c>
    </row>
    <row r="438" spans="1:22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8"/>
        <v>1</v>
      </c>
      <c r="R438" t="str">
        <f t="shared" si="19"/>
        <v>Unique ID</v>
      </c>
      <c r="V438" t="str">
        <f t="shared" si="20"/>
        <v>No</v>
      </c>
    </row>
    <row r="439" spans="1:22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8"/>
        <v>1</v>
      </c>
      <c r="R439" t="str">
        <f t="shared" si="19"/>
        <v>Unique ID</v>
      </c>
      <c r="V439" t="str">
        <f t="shared" si="20"/>
        <v>No</v>
      </c>
    </row>
    <row r="440" spans="1:22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8"/>
        <v>1</v>
      </c>
      <c r="R440" t="str">
        <f t="shared" si="19"/>
        <v>Unique ID</v>
      </c>
      <c r="V440" t="str">
        <f t="shared" si="20"/>
        <v>No</v>
      </c>
    </row>
    <row r="441" spans="1:22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8"/>
        <v>1</v>
      </c>
      <c r="R441" t="str">
        <f t="shared" si="19"/>
        <v>Unique ID</v>
      </c>
      <c r="V441" t="str">
        <f t="shared" si="20"/>
        <v>Yes</v>
      </c>
    </row>
    <row r="442" spans="1:22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8"/>
        <v>1</v>
      </c>
      <c r="R442" t="str">
        <f t="shared" si="19"/>
        <v>Unique ID</v>
      </c>
      <c r="V442" t="str">
        <f t="shared" si="20"/>
        <v>No</v>
      </c>
    </row>
    <row r="443" spans="1:22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8"/>
        <v>1</v>
      </c>
      <c r="R443" t="str">
        <f t="shared" si="19"/>
        <v>Unique ID</v>
      </c>
      <c r="V443" t="str">
        <f t="shared" si="20"/>
        <v>No</v>
      </c>
    </row>
    <row r="444" spans="1:22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8"/>
        <v>1</v>
      </c>
      <c r="R444" t="str">
        <f t="shared" si="19"/>
        <v>Unique ID</v>
      </c>
      <c r="V444" t="str">
        <f t="shared" si="20"/>
        <v>No</v>
      </c>
    </row>
    <row r="445" spans="1:22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8"/>
        <v>1</v>
      </c>
      <c r="R445" t="str">
        <f t="shared" si="19"/>
        <v>Unique ID</v>
      </c>
      <c r="V445" t="str">
        <f t="shared" si="20"/>
        <v>No</v>
      </c>
    </row>
    <row r="446" spans="1:22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8"/>
        <v>1</v>
      </c>
      <c r="R446" t="str">
        <f t="shared" si="19"/>
        <v>Unique ID</v>
      </c>
      <c r="V446" t="str">
        <f t="shared" si="20"/>
        <v>No</v>
      </c>
    </row>
    <row r="447" spans="1:22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8"/>
        <v>1</v>
      </c>
      <c r="R447" t="str">
        <f t="shared" si="19"/>
        <v>Unique ID</v>
      </c>
      <c r="V447" t="str">
        <f t="shared" si="20"/>
        <v>No</v>
      </c>
    </row>
    <row r="448" spans="1:22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8"/>
        <v>1</v>
      </c>
      <c r="R448" t="str">
        <f t="shared" si="19"/>
        <v>Unique ID</v>
      </c>
      <c r="V448" t="str">
        <f t="shared" si="20"/>
        <v>No</v>
      </c>
    </row>
    <row r="449" spans="1:22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8"/>
        <v>1</v>
      </c>
      <c r="R449" t="str">
        <f t="shared" si="19"/>
        <v>Unique ID</v>
      </c>
      <c r="V449" t="str">
        <f t="shared" si="20"/>
        <v>No</v>
      </c>
    </row>
    <row r="450" spans="1:22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18"/>
        <v>1</v>
      </c>
      <c r="R450" t="str">
        <f t="shared" si="19"/>
        <v>Unique ID</v>
      </c>
      <c r="V450" t="str">
        <f t="shared" si="20"/>
        <v>No</v>
      </c>
    </row>
    <row r="451" spans="1:22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21">COUNTIF($A:$A,A451)</f>
        <v>1</v>
      </c>
      <c r="R451" t="str">
        <f t="shared" ref="R451:R514" si="22">IF(Q451&gt;1,"Duplicate ID","Unique ID")</f>
        <v>Unique ID</v>
      </c>
      <c r="V451" t="str">
        <f t="shared" ref="V451:V514" si="23">IF(OR(L451&lt;$U$5,L451&gt;$U$6),"Yes","No")</f>
        <v>No</v>
      </c>
    </row>
    <row r="452" spans="1:22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21"/>
        <v>1</v>
      </c>
      <c r="R452" t="str">
        <f t="shared" si="22"/>
        <v>Unique ID</v>
      </c>
      <c r="V452" t="str">
        <f t="shared" si="23"/>
        <v>No</v>
      </c>
    </row>
    <row r="453" spans="1:22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21"/>
        <v>1</v>
      </c>
      <c r="R453" t="str">
        <f t="shared" si="22"/>
        <v>Unique ID</v>
      </c>
      <c r="V453" t="str">
        <f t="shared" si="23"/>
        <v>No</v>
      </c>
    </row>
    <row r="454" spans="1:22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21"/>
        <v>1</v>
      </c>
      <c r="R454" t="str">
        <f t="shared" si="22"/>
        <v>Unique ID</v>
      </c>
      <c r="V454" t="str">
        <f t="shared" si="23"/>
        <v>No</v>
      </c>
    </row>
    <row r="455" spans="1:22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21"/>
        <v>1</v>
      </c>
      <c r="R455" t="str">
        <f t="shared" si="22"/>
        <v>Unique ID</v>
      </c>
      <c r="V455" t="str">
        <f t="shared" si="23"/>
        <v>No</v>
      </c>
    </row>
    <row r="456" spans="1:22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21"/>
        <v>1</v>
      </c>
      <c r="R456" t="str">
        <f t="shared" si="22"/>
        <v>Unique ID</v>
      </c>
      <c r="V456" t="str">
        <f t="shared" si="23"/>
        <v>No</v>
      </c>
    </row>
    <row r="457" spans="1:22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21"/>
        <v>1</v>
      </c>
      <c r="R457" t="str">
        <f t="shared" si="22"/>
        <v>Unique ID</v>
      </c>
      <c r="V457" t="str">
        <f t="shared" si="23"/>
        <v>No</v>
      </c>
    </row>
    <row r="458" spans="1:22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21"/>
        <v>1</v>
      </c>
      <c r="R458" t="str">
        <f t="shared" si="22"/>
        <v>Unique ID</v>
      </c>
      <c r="V458" t="str">
        <f t="shared" si="23"/>
        <v>No</v>
      </c>
    </row>
    <row r="459" spans="1:22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21"/>
        <v>1</v>
      </c>
      <c r="R459" t="str">
        <f t="shared" si="22"/>
        <v>Unique ID</v>
      </c>
      <c r="V459" t="str">
        <f t="shared" si="23"/>
        <v>No</v>
      </c>
    </row>
    <row r="460" spans="1:22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21"/>
        <v>1</v>
      </c>
      <c r="R460" t="str">
        <f t="shared" si="22"/>
        <v>Unique ID</v>
      </c>
      <c r="V460" t="str">
        <f t="shared" si="23"/>
        <v>No</v>
      </c>
    </row>
    <row r="461" spans="1:22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21"/>
        <v>1</v>
      </c>
      <c r="R461" t="str">
        <f t="shared" si="22"/>
        <v>Unique ID</v>
      </c>
      <c r="V461" t="str">
        <f t="shared" si="23"/>
        <v>No</v>
      </c>
    </row>
    <row r="462" spans="1:22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21"/>
        <v>1</v>
      </c>
      <c r="R462" t="str">
        <f t="shared" si="22"/>
        <v>Unique ID</v>
      </c>
      <c r="V462" t="str">
        <f t="shared" si="23"/>
        <v>No</v>
      </c>
    </row>
    <row r="463" spans="1:22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21"/>
        <v>1</v>
      </c>
      <c r="R463" t="str">
        <f t="shared" si="22"/>
        <v>Unique ID</v>
      </c>
      <c r="V463" t="str">
        <f t="shared" si="23"/>
        <v>No</v>
      </c>
    </row>
    <row r="464" spans="1:22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21"/>
        <v>1</v>
      </c>
      <c r="R464" t="str">
        <f t="shared" si="22"/>
        <v>Unique ID</v>
      </c>
      <c r="V464" t="str">
        <f t="shared" si="23"/>
        <v>No</v>
      </c>
    </row>
    <row r="465" spans="1:22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21"/>
        <v>1</v>
      </c>
      <c r="R465" t="str">
        <f t="shared" si="22"/>
        <v>Unique ID</v>
      </c>
      <c r="V465" t="str">
        <f t="shared" si="23"/>
        <v>No</v>
      </c>
    </row>
    <row r="466" spans="1:22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21"/>
        <v>1</v>
      </c>
      <c r="R466" t="str">
        <f t="shared" si="22"/>
        <v>Unique ID</v>
      </c>
      <c r="V466" t="str">
        <f t="shared" si="23"/>
        <v>No</v>
      </c>
    </row>
    <row r="467" spans="1:22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21"/>
        <v>1</v>
      </c>
      <c r="R467" t="str">
        <f t="shared" si="22"/>
        <v>Unique ID</v>
      </c>
      <c r="V467" t="str">
        <f t="shared" si="23"/>
        <v>No</v>
      </c>
    </row>
    <row r="468" spans="1:22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21"/>
        <v>1</v>
      </c>
      <c r="R468" t="str">
        <f t="shared" si="22"/>
        <v>Unique ID</v>
      </c>
      <c r="V468" t="str">
        <f t="shared" si="23"/>
        <v>No</v>
      </c>
    </row>
    <row r="469" spans="1:22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21"/>
        <v>1</v>
      </c>
      <c r="R469" t="str">
        <f t="shared" si="22"/>
        <v>Unique ID</v>
      </c>
      <c r="V469" t="str">
        <f t="shared" si="23"/>
        <v>No</v>
      </c>
    </row>
    <row r="470" spans="1:22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21"/>
        <v>1</v>
      </c>
      <c r="R470" t="str">
        <f t="shared" si="22"/>
        <v>Unique ID</v>
      </c>
      <c r="V470" t="str">
        <f t="shared" si="23"/>
        <v>No</v>
      </c>
    </row>
    <row r="471" spans="1:22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21"/>
        <v>1</v>
      </c>
      <c r="R471" t="str">
        <f t="shared" si="22"/>
        <v>Unique ID</v>
      </c>
      <c r="V471" t="str">
        <f t="shared" si="23"/>
        <v>No</v>
      </c>
    </row>
    <row r="472" spans="1:22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21"/>
        <v>1</v>
      </c>
      <c r="R472" t="str">
        <f t="shared" si="22"/>
        <v>Unique ID</v>
      </c>
      <c r="V472" t="str">
        <f t="shared" si="23"/>
        <v>No</v>
      </c>
    </row>
    <row r="473" spans="1:22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21"/>
        <v>1</v>
      </c>
      <c r="R473" t="str">
        <f t="shared" si="22"/>
        <v>Unique ID</v>
      </c>
      <c r="V473" t="str">
        <f t="shared" si="23"/>
        <v>No</v>
      </c>
    </row>
    <row r="474" spans="1:22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21"/>
        <v>1</v>
      </c>
      <c r="R474" t="str">
        <f t="shared" si="22"/>
        <v>Unique ID</v>
      </c>
      <c r="V474" t="str">
        <f t="shared" si="23"/>
        <v>No</v>
      </c>
    </row>
    <row r="475" spans="1:22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21"/>
        <v>1</v>
      </c>
      <c r="R475" t="str">
        <f t="shared" si="22"/>
        <v>Unique ID</v>
      </c>
      <c r="V475" t="str">
        <f t="shared" si="23"/>
        <v>No</v>
      </c>
    </row>
    <row r="476" spans="1:22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21"/>
        <v>1</v>
      </c>
      <c r="R476" t="str">
        <f t="shared" si="22"/>
        <v>Unique ID</v>
      </c>
      <c r="V476" t="str">
        <f t="shared" si="23"/>
        <v>No</v>
      </c>
    </row>
    <row r="477" spans="1:22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21"/>
        <v>1</v>
      </c>
      <c r="R477" t="str">
        <f t="shared" si="22"/>
        <v>Unique ID</v>
      </c>
      <c r="V477" t="str">
        <f t="shared" si="23"/>
        <v>No</v>
      </c>
    </row>
    <row r="478" spans="1:22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21"/>
        <v>1</v>
      </c>
      <c r="R478" t="str">
        <f t="shared" si="22"/>
        <v>Unique ID</v>
      </c>
      <c r="V478" t="str">
        <f t="shared" si="23"/>
        <v>No</v>
      </c>
    </row>
    <row r="479" spans="1:22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21"/>
        <v>1</v>
      </c>
      <c r="R479" t="str">
        <f t="shared" si="22"/>
        <v>Unique ID</v>
      </c>
      <c r="V479" t="str">
        <f t="shared" si="23"/>
        <v>No</v>
      </c>
    </row>
    <row r="480" spans="1:22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21"/>
        <v>1</v>
      </c>
      <c r="R480" t="str">
        <f t="shared" si="22"/>
        <v>Unique ID</v>
      </c>
      <c r="V480" t="str">
        <f t="shared" si="23"/>
        <v>No</v>
      </c>
    </row>
    <row r="481" spans="1:22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21"/>
        <v>1</v>
      </c>
      <c r="R481" t="str">
        <f t="shared" si="22"/>
        <v>Unique ID</v>
      </c>
      <c r="V481" t="str">
        <f t="shared" si="23"/>
        <v>No</v>
      </c>
    </row>
    <row r="482" spans="1:22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21"/>
        <v>1</v>
      </c>
      <c r="R482" t="str">
        <f t="shared" si="22"/>
        <v>Unique ID</v>
      </c>
      <c r="V482" t="str">
        <f t="shared" si="23"/>
        <v>No</v>
      </c>
    </row>
    <row r="483" spans="1:22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21"/>
        <v>1</v>
      </c>
      <c r="R483" t="str">
        <f t="shared" si="22"/>
        <v>Unique ID</v>
      </c>
      <c r="V483" t="str">
        <f t="shared" si="23"/>
        <v>No</v>
      </c>
    </row>
    <row r="484" spans="1:22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21"/>
        <v>1</v>
      </c>
      <c r="R484" t="str">
        <f t="shared" si="22"/>
        <v>Unique ID</v>
      </c>
      <c r="V484" t="str">
        <f t="shared" si="23"/>
        <v>No</v>
      </c>
    </row>
    <row r="485" spans="1:22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21"/>
        <v>1</v>
      </c>
      <c r="R485" t="str">
        <f t="shared" si="22"/>
        <v>Unique ID</v>
      </c>
      <c r="V485" t="str">
        <f t="shared" si="23"/>
        <v>No</v>
      </c>
    </row>
    <row r="486" spans="1:22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21"/>
        <v>1</v>
      </c>
      <c r="R486" t="str">
        <f t="shared" si="22"/>
        <v>Unique ID</v>
      </c>
      <c r="V486" t="str">
        <f t="shared" si="23"/>
        <v>No</v>
      </c>
    </row>
    <row r="487" spans="1:22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21"/>
        <v>1</v>
      </c>
      <c r="R487" t="str">
        <f t="shared" si="22"/>
        <v>Unique ID</v>
      </c>
      <c r="V487" t="str">
        <f t="shared" si="23"/>
        <v>No</v>
      </c>
    </row>
    <row r="488" spans="1:22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21"/>
        <v>1</v>
      </c>
      <c r="R488" t="str">
        <f t="shared" si="22"/>
        <v>Unique ID</v>
      </c>
      <c r="V488" t="str">
        <f t="shared" si="23"/>
        <v>No</v>
      </c>
    </row>
    <row r="489" spans="1:22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21"/>
        <v>1</v>
      </c>
      <c r="R489" t="str">
        <f t="shared" si="22"/>
        <v>Unique ID</v>
      </c>
      <c r="V489" t="str">
        <f t="shared" si="23"/>
        <v>No</v>
      </c>
    </row>
    <row r="490" spans="1:22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21"/>
        <v>1</v>
      </c>
      <c r="R490" t="str">
        <f t="shared" si="22"/>
        <v>Unique ID</v>
      </c>
      <c r="V490" t="str">
        <f t="shared" si="23"/>
        <v>No</v>
      </c>
    </row>
    <row r="491" spans="1:22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21"/>
        <v>1</v>
      </c>
      <c r="R491" t="str">
        <f t="shared" si="22"/>
        <v>Unique ID</v>
      </c>
      <c r="V491" t="str">
        <f t="shared" si="23"/>
        <v>No</v>
      </c>
    </row>
    <row r="492" spans="1:22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21"/>
        <v>1</v>
      </c>
      <c r="R492" t="str">
        <f t="shared" si="22"/>
        <v>Unique ID</v>
      </c>
      <c r="V492" t="str">
        <f t="shared" si="23"/>
        <v>No</v>
      </c>
    </row>
    <row r="493" spans="1:22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21"/>
        <v>1</v>
      </c>
      <c r="R493" t="str">
        <f t="shared" si="22"/>
        <v>Unique ID</v>
      </c>
      <c r="V493" t="str">
        <f t="shared" si="23"/>
        <v>No</v>
      </c>
    </row>
    <row r="494" spans="1:22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21"/>
        <v>1</v>
      </c>
      <c r="R494" t="str">
        <f t="shared" si="22"/>
        <v>Unique ID</v>
      </c>
      <c r="V494" t="str">
        <f t="shared" si="23"/>
        <v>No</v>
      </c>
    </row>
    <row r="495" spans="1:22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21"/>
        <v>1</v>
      </c>
      <c r="R495" t="str">
        <f t="shared" si="22"/>
        <v>Unique ID</v>
      </c>
      <c r="V495" t="str">
        <f t="shared" si="23"/>
        <v>No</v>
      </c>
    </row>
    <row r="496" spans="1:22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21"/>
        <v>1</v>
      </c>
      <c r="R496" t="str">
        <f t="shared" si="22"/>
        <v>Unique ID</v>
      </c>
      <c r="V496" t="str">
        <f t="shared" si="23"/>
        <v>No</v>
      </c>
    </row>
    <row r="497" spans="1:22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21"/>
        <v>1</v>
      </c>
      <c r="R497" t="str">
        <f t="shared" si="22"/>
        <v>Unique ID</v>
      </c>
      <c r="V497" t="str">
        <f t="shared" si="23"/>
        <v>No</v>
      </c>
    </row>
    <row r="498" spans="1:22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21"/>
        <v>1</v>
      </c>
      <c r="R498" t="str">
        <f t="shared" si="22"/>
        <v>Unique ID</v>
      </c>
      <c r="V498" t="str">
        <f t="shared" si="23"/>
        <v>No</v>
      </c>
    </row>
    <row r="499" spans="1:22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21"/>
        <v>1</v>
      </c>
      <c r="R499" t="str">
        <f t="shared" si="22"/>
        <v>Unique ID</v>
      </c>
      <c r="V499" t="str">
        <f t="shared" si="23"/>
        <v>No</v>
      </c>
    </row>
    <row r="500" spans="1:22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21"/>
        <v>1</v>
      </c>
      <c r="R500" t="str">
        <f t="shared" si="22"/>
        <v>Unique ID</v>
      </c>
      <c r="V500" t="str">
        <f t="shared" si="23"/>
        <v>No</v>
      </c>
    </row>
    <row r="501" spans="1:22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21"/>
        <v>1</v>
      </c>
      <c r="R501" t="str">
        <f t="shared" si="22"/>
        <v>Unique ID</v>
      </c>
      <c r="V501" t="str">
        <f t="shared" si="23"/>
        <v>No</v>
      </c>
    </row>
    <row r="502" spans="1:22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21"/>
        <v>1</v>
      </c>
      <c r="R502" t="str">
        <f t="shared" si="22"/>
        <v>Unique ID</v>
      </c>
      <c r="V502" t="str">
        <f t="shared" si="23"/>
        <v>Yes</v>
      </c>
    </row>
    <row r="503" spans="1:22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21"/>
        <v>1</v>
      </c>
      <c r="R503" t="str">
        <f t="shared" si="22"/>
        <v>Unique ID</v>
      </c>
      <c r="V503" t="str">
        <f t="shared" si="23"/>
        <v>No</v>
      </c>
    </row>
    <row r="504" spans="1:22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21"/>
        <v>1</v>
      </c>
      <c r="R504" t="str">
        <f t="shared" si="22"/>
        <v>Unique ID</v>
      </c>
      <c r="V504" t="str">
        <f t="shared" si="23"/>
        <v>No</v>
      </c>
    </row>
    <row r="505" spans="1:22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21"/>
        <v>1</v>
      </c>
      <c r="R505" t="str">
        <f t="shared" si="22"/>
        <v>Unique ID</v>
      </c>
      <c r="V505" t="str">
        <f t="shared" si="23"/>
        <v>No</v>
      </c>
    </row>
    <row r="506" spans="1:22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21"/>
        <v>1</v>
      </c>
      <c r="R506" t="str">
        <f t="shared" si="22"/>
        <v>Unique ID</v>
      </c>
      <c r="V506" t="str">
        <f t="shared" si="23"/>
        <v>No</v>
      </c>
    </row>
    <row r="507" spans="1:22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21"/>
        <v>1</v>
      </c>
      <c r="R507" t="str">
        <f t="shared" si="22"/>
        <v>Unique ID</v>
      </c>
      <c r="V507" t="str">
        <f t="shared" si="23"/>
        <v>No</v>
      </c>
    </row>
    <row r="508" spans="1:22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21"/>
        <v>1</v>
      </c>
      <c r="R508" t="str">
        <f t="shared" si="22"/>
        <v>Unique ID</v>
      </c>
      <c r="V508" t="str">
        <f t="shared" si="23"/>
        <v>No</v>
      </c>
    </row>
    <row r="509" spans="1:22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21"/>
        <v>1</v>
      </c>
      <c r="R509" t="str">
        <f t="shared" si="22"/>
        <v>Unique ID</v>
      </c>
      <c r="V509" t="str">
        <f t="shared" si="23"/>
        <v>No</v>
      </c>
    </row>
    <row r="510" spans="1:22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21"/>
        <v>1</v>
      </c>
      <c r="R510" t="str">
        <f t="shared" si="22"/>
        <v>Unique ID</v>
      </c>
      <c r="V510" t="str">
        <f t="shared" si="23"/>
        <v>No</v>
      </c>
    </row>
    <row r="511" spans="1:22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21"/>
        <v>1</v>
      </c>
      <c r="R511" t="str">
        <f t="shared" si="22"/>
        <v>Unique ID</v>
      </c>
      <c r="V511" t="str">
        <f t="shared" si="23"/>
        <v>No</v>
      </c>
    </row>
    <row r="512" spans="1:22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21"/>
        <v>1</v>
      </c>
      <c r="R512" t="str">
        <f t="shared" si="22"/>
        <v>Unique ID</v>
      </c>
      <c r="V512" t="str">
        <f t="shared" si="23"/>
        <v>No</v>
      </c>
    </row>
    <row r="513" spans="1:22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21"/>
        <v>1</v>
      </c>
      <c r="R513" t="str">
        <f t="shared" si="22"/>
        <v>Unique ID</v>
      </c>
      <c r="V513" t="str">
        <f t="shared" si="23"/>
        <v>No</v>
      </c>
    </row>
    <row r="514" spans="1:22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21"/>
        <v>1</v>
      </c>
      <c r="R514" t="str">
        <f t="shared" si="22"/>
        <v>Unique ID</v>
      </c>
      <c r="V514" t="str">
        <f t="shared" si="23"/>
        <v>No</v>
      </c>
    </row>
    <row r="515" spans="1:22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24">COUNTIF($A:$A,A515)</f>
        <v>1</v>
      </c>
      <c r="R515" t="str">
        <f t="shared" ref="R515:R578" si="25">IF(Q515&gt;1,"Duplicate ID","Unique ID")</f>
        <v>Unique ID</v>
      </c>
      <c r="V515" t="str">
        <f t="shared" ref="V515:V578" si="26">IF(OR(L515&lt;$U$5,L515&gt;$U$6),"Yes","No")</f>
        <v>No</v>
      </c>
    </row>
    <row r="516" spans="1:22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24"/>
        <v>1</v>
      </c>
      <c r="R516" t="str">
        <f t="shared" si="25"/>
        <v>Unique ID</v>
      </c>
      <c r="V516" t="str">
        <f t="shared" si="26"/>
        <v>No</v>
      </c>
    </row>
    <row r="517" spans="1:22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24"/>
        <v>1</v>
      </c>
      <c r="R517" t="str">
        <f t="shared" si="25"/>
        <v>Unique ID</v>
      </c>
      <c r="V517" t="str">
        <f t="shared" si="26"/>
        <v>No</v>
      </c>
    </row>
    <row r="518" spans="1:22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24"/>
        <v>1</v>
      </c>
      <c r="R518" t="str">
        <f t="shared" si="25"/>
        <v>Unique ID</v>
      </c>
      <c r="V518" t="str">
        <f t="shared" si="26"/>
        <v>No</v>
      </c>
    </row>
    <row r="519" spans="1:22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24"/>
        <v>1</v>
      </c>
      <c r="R519" t="str">
        <f t="shared" si="25"/>
        <v>Unique ID</v>
      </c>
      <c r="V519" t="str">
        <f t="shared" si="26"/>
        <v>No</v>
      </c>
    </row>
    <row r="520" spans="1:22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24"/>
        <v>1</v>
      </c>
      <c r="R520" t="str">
        <f t="shared" si="25"/>
        <v>Unique ID</v>
      </c>
      <c r="V520" t="str">
        <f t="shared" si="26"/>
        <v>No</v>
      </c>
    </row>
    <row r="521" spans="1:22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24"/>
        <v>1</v>
      </c>
      <c r="R521" t="str">
        <f t="shared" si="25"/>
        <v>Unique ID</v>
      </c>
      <c r="V521" t="str">
        <f t="shared" si="26"/>
        <v>No</v>
      </c>
    </row>
    <row r="522" spans="1:22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24"/>
        <v>1</v>
      </c>
      <c r="R522" t="str">
        <f t="shared" si="25"/>
        <v>Unique ID</v>
      </c>
      <c r="V522" t="str">
        <f t="shared" si="26"/>
        <v>No</v>
      </c>
    </row>
    <row r="523" spans="1:22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24"/>
        <v>1</v>
      </c>
      <c r="R523" t="str">
        <f t="shared" si="25"/>
        <v>Unique ID</v>
      </c>
      <c r="V523" t="str">
        <f t="shared" si="26"/>
        <v>No</v>
      </c>
    </row>
    <row r="524" spans="1:22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24"/>
        <v>1</v>
      </c>
      <c r="R524" t="str">
        <f t="shared" si="25"/>
        <v>Unique ID</v>
      </c>
      <c r="V524" t="str">
        <f t="shared" si="26"/>
        <v>No</v>
      </c>
    </row>
    <row r="525" spans="1:22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24"/>
        <v>1</v>
      </c>
      <c r="R525" t="str">
        <f t="shared" si="25"/>
        <v>Unique ID</v>
      </c>
      <c r="V525" t="str">
        <f t="shared" si="26"/>
        <v>No</v>
      </c>
    </row>
    <row r="526" spans="1:22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24"/>
        <v>1</v>
      </c>
      <c r="R526" t="str">
        <f t="shared" si="25"/>
        <v>Unique ID</v>
      </c>
      <c r="V526" t="str">
        <f t="shared" si="26"/>
        <v>No</v>
      </c>
    </row>
    <row r="527" spans="1:22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24"/>
        <v>1</v>
      </c>
      <c r="R527" t="str">
        <f t="shared" si="25"/>
        <v>Unique ID</v>
      </c>
      <c r="V527" t="str">
        <f t="shared" si="26"/>
        <v>No</v>
      </c>
    </row>
    <row r="528" spans="1:22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24"/>
        <v>1</v>
      </c>
      <c r="R528" t="str">
        <f t="shared" si="25"/>
        <v>Unique ID</v>
      </c>
      <c r="V528" t="str">
        <f t="shared" si="26"/>
        <v>No</v>
      </c>
    </row>
    <row r="529" spans="1:22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24"/>
        <v>1</v>
      </c>
      <c r="R529" t="str">
        <f t="shared" si="25"/>
        <v>Unique ID</v>
      </c>
      <c r="V529" t="str">
        <f t="shared" si="26"/>
        <v>No</v>
      </c>
    </row>
    <row r="530" spans="1:22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24"/>
        <v>1</v>
      </c>
      <c r="R530" t="str">
        <f t="shared" si="25"/>
        <v>Unique ID</v>
      </c>
      <c r="V530" t="str">
        <f t="shared" si="26"/>
        <v>No</v>
      </c>
    </row>
    <row r="531" spans="1:22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24"/>
        <v>1</v>
      </c>
      <c r="R531" t="str">
        <f t="shared" si="25"/>
        <v>Unique ID</v>
      </c>
      <c r="V531" t="str">
        <f t="shared" si="26"/>
        <v>No</v>
      </c>
    </row>
    <row r="532" spans="1:22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24"/>
        <v>1</v>
      </c>
      <c r="R532" t="str">
        <f t="shared" si="25"/>
        <v>Unique ID</v>
      </c>
      <c r="V532" t="str">
        <f t="shared" si="26"/>
        <v>No</v>
      </c>
    </row>
    <row r="533" spans="1:22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24"/>
        <v>1</v>
      </c>
      <c r="R533" t="str">
        <f t="shared" si="25"/>
        <v>Unique ID</v>
      </c>
      <c r="V533" t="str">
        <f t="shared" si="26"/>
        <v>No</v>
      </c>
    </row>
    <row r="534" spans="1:22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24"/>
        <v>1</v>
      </c>
      <c r="R534" t="str">
        <f t="shared" si="25"/>
        <v>Unique ID</v>
      </c>
      <c r="V534" t="str">
        <f t="shared" si="26"/>
        <v>No</v>
      </c>
    </row>
    <row r="535" spans="1:22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24"/>
        <v>1</v>
      </c>
      <c r="R535" t="str">
        <f t="shared" si="25"/>
        <v>Unique ID</v>
      </c>
      <c r="V535" t="str">
        <f t="shared" si="26"/>
        <v>No</v>
      </c>
    </row>
    <row r="536" spans="1:22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24"/>
        <v>1</v>
      </c>
      <c r="R536" t="str">
        <f t="shared" si="25"/>
        <v>Unique ID</v>
      </c>
      <c r="V536" t="str">
        <f t="shared" si="26"/>
        <v>No</v>
      </c>
    </row>
    <row r="537" spans="1:22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24"/>
        <v>1</v>
      </c>
      <c r="R537" t="str">
        <f t="shared" si="25"/>
        <v>Unique ID</v>
      </c>
      <c r="V537" t="str">
        <f t="shared" si="26"/>
        <v>No</v>
      </c>
    </row>
    <row r="538" spans="1:22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24"/>
        <v>1</v>
      </c>
      <c r="R538" t="str">
        <f t="shared" si="25"/>
        <v>Unique ID</v>
      </c>
      <c r="V538" t="str">
        <f t="shared" si="26"/>
        <v>No</v>
      </c>
    </row>
    <row r="539" spans="1:22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24"/>
        <v>1</v>
      </c>
      <c r="R539" t="str">
        <f t="shared" si="25"/>
        <v>Unique ID</v>
      </c>
      <c r="V539" t="str">
        <f t="shared" si="26"/>
        <v>No</v>
      </c>
    </row>
    <row r="540" spans="1:22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24"/>
        <v>1</v>
      </c>
      <c r="R540" t="str">
        <f t="shared" si="25"/>
        <v>Unique ID</v>
      </c>
      <c r="V540" t="str">
        <f t="shared" si="26"/>
        <v>No</v>
      </c>
    </row>
    <row r="541" spans="1:22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24"/>
        <v>1</v>
      </c>
      <c r="R541" t="str">
        <f t="shared" si="25"/>
        <v>Unique ID</v>
      </c>
      <c r="V541" t="str">
        <f t="shared" si="26"/>
        <v>No</v>
      </c>
    </row>
    <row r="542" spans="1:22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24"/>
        <v>2</v>
      </c>
      <c r="R542" t="str">
        <f t="shared" si="25"/>
        <v>Duplicate ID</v>
      </c>
      <c r="V542" t="str">
        <f t="shared" si="26"/>
        <v>No</v>
      </c>
    </row>
    <row r="543" spans="1:22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24"/>
        <v>1</v>
      </c>
      <c r="R543" t="str">
        <f t="shared" si="25"/>
        <v>Unique ID</v>
      </c>
      <c r="V543" t="str">
        <f t="shared" si="26"/>
        <v>No</v>
      </c>
    </row>
    <row r="544" spans="1:22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24"/>
        <v>1</v>
      </c>
      <c r="R544" t="str">
        <f t="shared" si="25"/>
        <v>Unique ID</v>
      </c>
      <c r="V544" t="str">
        <f t="shared" si="26"/>
        <v>No</v>
      </c>
    </row>
    <row r="545" spans="1:22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24"/>
        <v>1</v>
      </c>
      <c r="R545" t="str">
        <f t="shared" si="25"/>
        <v>Unique ID</v>
      </c>
      <c r="V545" t="str">
        <f t="shared" si="26"/>
        <v>No</v>
      </c>
    </row>
    <row r="546" spans="1:22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24"/>
        <v>1</v>
      </c>
      <c r="R546" t="str">
        <f t="shared" si="25"/>
        <v>Unique ID</v>
      </c>
      <c r="V546" t="str">
        <f t="shared" si="26"/>
        <v>No</v>
      </c>
    </row>
    <row r="547" spans="1:22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24"/>
        <v>1</v>
      </c>
      <c r="R547" t="str">
        <f t="shared" si="25"/>
        <v>Unique ID</v>
      </c>
      <c r="V547" t="str">
        <f t="shared" si="26"/>
        <v>No</v>
      </c>
    </row>
    <row r="548" spans="1:22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24"/>
        <v>1</v>
      </c>
      <c r="R548" t="str">
        <f t="shared" si="25"/>
        <v>Unique ID</v>
      </c>
      <c r="V548" t="str">
        <f t="shared" si="26"/>
        <v>No</v>
      </c>
    </row>
    <row r="549" spans="1:22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24"/>
        <v>1</v>
      </c>
      <c r="R549" t="str">
        <f t="shared" si="25"/>
        <v>Unique ID</v>
      </c>
      <c r="V549" t="str">
        <f t="shared" si="26"/>
        <v>No</v>
      </c>
    </row>
    <row r="550" spans="1:22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24"/>
        <v>1</v>
      </c>
      <c r="R550" t="str">
        <f t="shared" si="25"/>
        <v>Unique ID</v>
      </c>
      <c r="V550" t="str">
        <f t="shared" si="26"/>
        <v>No</v>
      </c>
    </row>
    <row r="551" spans="1:22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24"/>
        <v>1</v>
      </c>
      <c r="R551" t="str">
        <f t="shared" si="25"/>
        <v>Unique ID</v>
      </c>
      <c r="V551" t="str">
        <f t="shared" si="26"/>
        <v>No</v>
      </c>
    </row>
    <row r="552" spans="1:22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24"/>
        <v>1</v>
      </c>
      <c r="R552" t="str">
        <f t="shared" si="25"/>
        <v>Unique ID</v>
      </c>
      <c r="V552" t="str">
        <f t="shared" si="26"/>
        <v>No</v>
      </c>
    </row>
    <row r="553" spans="1:22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24"/>
        <v>1</v>
      </c>
      <c r="R553" t="str">
        <f t="shared" si="25"/>
        <v>Unique ID</v>
      </c>
      <c r="V553" t="str">
        <f t="shared" si="26"/>
        <v>No</v>
      </c>
    </row>
    <row r="554" spans="1:22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24"/>
        <v>1</v>
      </c>
      <c r="R554" t="str">
        <f t="shared" si="25"/>
        <v>Unique ID</v>
      </c>
      <c r="V554" t="str">
        <f t="shared" si="26"/>
        <v>No</v>
      </c>
    </row>
    <row r="555" spans="1:22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24"/>
        <v>1</v>
      </c>
      <c r="R555" t="str">
        <f t="shared" si="25"/>
        <v>Unique ID</v>
      </c>
      <c r="V555" t="str">
        <f t="shared" si="26"/>
        <v>No</v>
      </c>
    </row>
    <row r="556" spans="1:22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24"/>
        <v>1</v>
      </c>
      <c r="R556" t="str">
        <f t="shared" si="25"/>
        <v>Unique ID</v>
      </c>
      <c r="V556" t="str">
        <f t="shared" si="26"/>
        <v>No</v>
      </c>
    </row>
    <row r="557" spans="1:22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24"/>
        <v>1</v>
      </c>
      <c r="R557" t="str">
        <f t="shared" si="25"/>
        <v>Unique ID</v>
      </c>
      <c r="V557" t="str">
        <f t="shared" si="26"/>
        <v>No</v>
      </c>
    </row>
    <row r="558" spans="1:22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24"/>
        <v>1</v>
      </c>
      <c r="R558" t="str">
        <f t="shared" si="25"/>
        <v>Unique ID</v>
      </c>
      <c r="V558" t="str">
        <f t="shared" si="26"/>
        <v>No</v>
      </c>
    </row>
    <row r="559" spans="1:22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24"/>
        <v>1</v>
      </c>
      <c r="R559" t="str">
        <f t="shared" si="25"/>
        <v>Unique ID</v>
      </c>
      <c r="V559" t="str">
        <f t="shared" si="26"/>
        <v>No</v>
      </c>
    </row>
    <row r="560" spans="1:22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24"/>
        <v>1</v>
      </c>
      <c r="R560" t="str">
        <f t="shared" si="25"/>
        <v>Unique ID</v>
      </c>
      <c r="V560" t="str">
        <f t="shared" si="26"/>
        <v>No</v>
      </c>
    </row>
    <row r="561" spans="1:22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24"/>
        <v>1</v>
      </c>
      <c r="R561" t="str">
        <f t="shared" si="25"/>
        <v>Unique ID</v>
      </c>
      <c r="V561" t="str">
        <f t="shared" si="26"/>
        <v>No</v>
      </c>
    </row>
    <row r="562" spans="1:22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24"/>
        <v>1</v>
      </c>
      <c r="R562" t="str">
        <f t="shared" si="25"/>
        <v>Unique ID</v>
      </c>
      <c r="V562" t="str">
        <f t="shared" si="26"/>
        <v>No</v>
      </c>
    </row>
    <row r="563" spans="1:22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24"/>
        <v>1</v>
      </c>
      <c r="R563" t="str">
        <f t="shared" si="25"/>
        <v>Unique ID</v>
      </c>
      <c r="V563" t="str">
        <f t="shared" si="26"/>
        <v>No</v>
      </c>
    </row>
    <row r="564" spans="1:22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24"/>
        <v>1</v>
      </c>
      <c r="R564" t="str">
        <f t="shared" si="25"/>
        <v>Unique ID</v>
      </c>
      <c r="V564" t="str">
        <f t="shared" si="26"/>
        <v>No</v>
      </c>
    </row>
    <row r="565" spans="1:22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24"/>
        <v>1</v>
      </c>
      <c r="R565" t="str">
        <f t="shared" si="25"/>
        <v>Unique ID</v>
      </c>
      <c r="V565" t="str">
        <f t="shared" si="26"/>
        <v>No</v>
      </c>
    </row>
    <row r="566" spans="1:22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24"/>
        <v>1</v>
      </c>
      <c r="R566" t="str">
        <f t="shared" si="25"/>
        <v>Unique ID</v>
      </c>
      <c r="V566" t="str">
        <f t="shared" si="26"/>
        <v>No</v>
      </c>
    </row>
    <row r="567" spans="1:22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24"/>
        <v>1</v>
      </c>
      <c r="R567" t="str">
        <f t="shared" si="25"/>
        <v>Unique ID</v>
      </c>
      <c r="V567" t="str">
        <f t="shared" si="26"/>
        <v>No</v>
      </c>
    </row>
    <row r="568" spans="1:22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24"/>
        <v>1</v>
      </c>
      <c r="R568" t="str">
        <f t="shared" si="25"/>
        <v>Unique ID</v>
      </c>
      <c r="V568" t="str">
        <f t="shared" si="26"/>
        <v>No</v>
      </c>
    </row>
    <row r="569" spans="1:22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24"/>
        <v>1</v>
      </c>
      <c r="R569" t="str">
        <f t="shared" si="25"/>
        <v>Unique ID</v>
      </c>
      <c r="V569" t="str">
        <f t="shared" si="26"/>
        <v>No</v>
      </c>
    </row>
    <row r="570" spans="1:22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24"/>
        <v>1</v>
      </c>
      <c r="R570" t="str">
        <f t="shared" si="25"/>
        <v>Unique ID</v>
      </c>
      <c r="V570" t="str">
        <f t="shared" si="26"/>
        <v>No</v>
      </c>
    </row>
    <row r="571" spans="1:22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24"/>
        <v>1</v>
      </c>
      <c r="R571" t="str">
        <f t="shared" si="25"/>
        <v>Unique ID</v>
      </c>
      <c r="V571" t="str">
        <f t="shared" si="26"/>
        <v>No</v>
      </c>
    </row>
    <row r="572" spans="1:22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24"/>
        <v>1</v>
      </c>
      <c r="R572" t="str">
        <f t="shared" si="25"/>
        <v>Unique ID</v>
      </c>
      <c r="V572" t="str">
        <f t="shared" si="26"/>
        <v>No</v>
      </c>
    </row>
    <row r="573" spans="1:22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24"/>
        <v>1</v>
      </c>
      <c r="R573" t="str">
        <f t="shared" si="25"/>
        <v>Unique ID</v>
      </c>
      <c r="V573" t="str">
        <f t="shared" si="26"/>
        <v>No</v>
      </c>
    </row>
    <row r="574" spans="1:22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24"/>
        <v>1</v>
      </c>
      <c r="R574" t="str">
        <f t="shared" si="25"/>
        <v>Unique ID</v>
      </c>
      <c r="V574" t="str">
        <f t="shared" si="26"/>
        <v>No</v>
      </c>
    </row>
    <row r="575" spans="1:22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24"/>
        <v>1</v>
      </c>
      <c r="R575" t="str">
        <f t="shared" si="25"/>
        <v>Unique ID</v>
      </c>
      <c r="V575" t="str">
        <f t="shared" si="26"/>
        <v>No</v>
      </c>
    </row>
    <row r="576" spans="1:22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24"/>
        <v>1</v>
      </c>
      <c r="R576" t="str">
        <f t="shared" si="25"/>
        <v>Unique ID</v>
      </c>
      <c r="V576" t="str">
        <f t="shared" si="26"/>
        <v>No</v>
      </c>
    </row>
    <row r="577" spans="1:22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24"/>
        <v>1</v>
      </c>
      <c r="R577" t="str">
        <f t="shared" si="25"/>
        <v>Unique ID</v>
      </c>
      <c r="V577" t="str">
        <f t="shared" si="26"/>
        <v>No</v>
      </c>
    </row>
    <row r="578" spans="1:22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24"/>
        <v>1</v>
      </c>
      <c r="R578" t="str">
        <f t="shared" si="25"/>
        <v>Unique ID</v>
      </c>
      <c r="V578" t="str">
        <f t="shared" si="26"/>
        <v>No</v>
      </c>
    </row>
    <row r="579" spans="1:22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27">COUNTIF($A:$A,A579)</f>
        <v>1</v>
      </c>
      <c r="R579" t="str">
        <f t="shared" ref="R579:R642" si="28">IF(Q579&gt;1,"Duplicate ID","Unique ID")</f>
        <v>Unique ID</v>
      </c>
      <c r="V579" t="str">
        <f t="shared" ref="V579:V642" si="29">IF(OR(L579&lt;$U$5,L579&gt;$U$6),"Yes","No")</f>
        <v>No</v>
      </c>
    </row>
    <row r="580" spans="1:22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27"/>
        <v>1</v>
      </c>
      <c r="R580" t="str">
        <f t="shared" si="28"/>
        <v>Unique ID</v>
      </c>
      <c r="V580" t="str">
        <f t="shared" si="29"/>
        <v>No</v>
      </c>
    </row>
    <row r="581" spans="1:22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27"/>
        <v>1</v>
      </c>
      <c r="R581" t="str">
        <f t="shared" si="28"/>
        <v>Unique ID</v>
      </c>
      <c r="V581" t="str">
        <f t="shared" si="29"/>
        <v>No</v>
      </c>
    </row>
    <row r="582" spans="1:22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27"/>
        <v>1</v>
      </c>
      <c r="R582" t="str">
        <f t="shared" si="28"/>
        <v>Unique ID</v>
      </c>
      <c r="V582" t="str">
        <f t="shared" si="29"/>
        <v>No</v>
      </c>
    </row>
    <row r="583" spans="1:22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27"/>
        <v>1</v>
      </c>
      <c r="R583" t="str">
        <f t="shared" si="28"/>
        <v>Unique ID</v>
      </c>
      <c r="V583" t="str">
        <f t="shared" si="29"/>
        <v>No</v>
      </c>
    </row>
    <row r="584" spans="1:22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27"/>
        <v>1</v>
      </c>
      <c r="R584" t="str">
        <f t="shared" si="28"/>
        <v>Unique ID</v>
      </c>
      <c r="V584" t="str">
        <f t="shared" si="29"/>
        <v>No</v>
      </c>
    </row>
    <row r="585" spans="1:22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27"/>
        <v>1</v>
      </c>
      <c r="R585" t="str">
        <f t="shared" si="28"/>
        <v>Unique ID</v>
      </c>
      <c r="V585" t="str">
        <f t="shared" si="29"/>
        <v>No</v>
      </c>
    </row>
    <row r="586" spans="1:22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27"/>
        <v>1</v>
      </c>
      <c r="R586" t="str">
        <f t="shared" si="28"/>
        <v>Unique ID</v>
      </c>
      <c r="V586" t="str">
        <f t="shared" si="29"/>
        <v>No</v>
      </c>
    </row>
    <row r="587" spans="1:22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27"/>
        <v>1</v>
      </c>
      <c r="R587" t="str">
        <f t="shared" si="28"/>
        <v>Unique ID</v>
      </c>
      <c r="V587" t="str">
        <f t="shared" si="29"/>
        <v>No</v>
      </c>
    </row>
    <row r="588" spans="1:22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27"/>
        <v>1</v>
      </c>
      <c r="R588" t="str">
        <f t="shared" si="28"/>
        <v>Unique ID</v>
      </c>
      <c r="V588" t="str">
        <f t="shared" si="29"/>
        <v>No</v>
      </c>
    </row>
    <row r="589" spans="1:22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27"/>
        <v>1</v>
      </c>
      <c r="R589" t="str">
        <f t="shared" si="28"/>
        <v>Unique ID</v>
      </c>
      <c r="V589" t="str">
        <f t="shared" si="29"/>
        <v>No</v>
      </c>
    </row>
    <row r="590" spans="1:22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27"/>
        <v>1</v>
      </c>
      <c r="R590" t="str">
        <f t="shared" si="28"/>
        <v>Unique ID</v>
      </c>
      <c r="V590" t="str">
        <f t="shared" si="29"/>
        <v>No</v>
      </c>
    </row>
    <row r="591" spans="1:22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27"/>
        <v>1</v>
      </c>
      <c r="R591" t="str">
        <f t="shared" si="28"/>
        <v>Unique ID</v>
      </c>
      <c r="V591" t="str">
        <f t="shared" si="29"/>
        <v>No</v>
      </c>
    </row>
    <row r="592" spans="1:22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27"/>
        <v>1</v>
      </c>
      <c r="R592" t="str">
        <f t="shared" si="28"/>
        <v>Unique ID</v>
      </c>
      <c r="V592" t="str">
        <f t="shared" si="29"/>
        <v>No</v>
      </c>
    </row>
    <row r="593" spans="1:22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27"/>
        <v>1</v>
      </c>
      <c r="R593" t="str">
        <f t="shared" si="28"/>
        <v>Unique ID</v>
      </c>
      <c r="V593" t="str">
        <f t="shared" si="29"/>
        <v>No</v>
      </c>
    </row>
    <row r="594" spans="1:22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27"/>
        <v>1</v>
      </c>
      <c r="R594" t="str">
        <f t="shared" si="28"/>
        <v>Unique ID</v>
      </c>
      <c r="V594" t="str">
        <f t="shared" si="29"/>
        <v>No</v>
      </c>
    </row>
    <row r="595" spans="1:22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27"/>
        <v>1</v>
      </c>
      <c r="R595" t="str">
        <f t="shared" si="28"/>
        <v>Unique ID</v>
      </c>
      <c r="V595" t="str">
        <f t="shared" si="29"/>
        <v>Yes</v>
      </c>
    </row>
    <row r="596" spans="1:22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27"/>
        <v>1</v>
      </c>
      <c r="R596" t="str">
        <f t="shared" si="28"/>
        <v>Unique ID</v>
      </c>
      <c r="V596" t="str">
        <f t="shared" si="29"/>
        <v>No</v>
      </c>
    </row>
    <row r="597" spans="1:22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27"/>
        <v>1</v>
      </c>
      <c r="R597" t="str">
        <f t="shared" si="28"/>
        <v>Unique ID</v>
      </c>
      <c r="V597" t="str">
        <f t="shared" si="29"/>
        <v>No</v>
      </c>
    </row>
    <row r="598" spans="1:22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27"/>
        <v>1</v>
      </c>
      <c r="R598" t="str">
        <f t="shared" si="28"/>
        <v>Unique ID</v>
      </c>
      <c r="V598" t="str">
        <f t="shared" si="29"/>
        <v>No</v>
      </c>
    </row>
    <row r="599" spans="1:22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27"/>
        <v>1</v>
      </c>
      <c r="R599" t="str">
        <f t="shared" si="28"/>
        <v>Unique ID</v>
      </c>
      <c r="V599" t="str">
        <f t="shared" si="29"/>
        <v>No</v>
      </c>
    </row>
    <row r="600" spans="1:22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27"/>
        <v>1</v>
      </c>
      <c r="R600" t="str">
        <f t="shared" si="28"/>
        <v>Unique ID</v>
      </c>
      <c r="V600" t="str">
        <f t="shared" si="29"/>
        <v>No</v>
      </c>
    </row>
    <row r="601" spans="1:22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27"/>
        <v>1</v>
      </c>
      <c r="R601" t="str">
        <f t="shared" si="28"/>
        <v>Unique ID</v>
      </c>
      <c r="V601" t="str">
        <f t="shared" si="29"/>
        <v>No</v>
      </c>
    </row>
    <row r="602" spans="1:22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27"/>
        <v>1</v>
      </c>
      <c r="R602" t="str">
        <f t="shared" si="28"/>
        <v>Unique ID</v>
      </c>
      <c r="V602" t="str">
        <f t="shared" si="29"/>
        <v>No</v>
      </c>
    </row>
    <row r="603" spans="1:22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27"/>
        <v>1</v>
      </c>
      <c r="R603" t="str">
        <f t="shared" si="28"/>
        <v>Unique ID</v>
      </c>
      <c r="V603" t="str">
        <f t="shared" si="29"/>
        <v>No</v>
      </c>
    </row>
    <row r="604" spans="1:22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27"/>
        <v>1</v>
      </c>
      <c r="R604" t="str">
        <f t="shared" si="28"/>
        <v>Unique ID</v>
      </c>
      <c r="V604" t="str">
        <f t="shared" si="29"/>
        <v>No</v>
      </c>
    </row>
    <row r="605" spans="1:22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27"/>
        <v>1</v>
      </c>
      <c r="R605" t="str">
        <f t="shared" si="28"/>
        <v>Unique ID</v>
      </c>
      <c r="V605" t="str">
        <f t="shared" si="29"/>
        <v>No</v>
      </c>
    </row>
    <row r="606" spans="1:22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27"/>
        <v>1</v>
      </c>
      <c r="R606" t="str">
        <f t="shared" si="28"/>
        <v>Unique ID</v>
      </c>
      <c r="V606" t="str">
        <f t="shared" si="29"/>
        <v>No</v>
      </c>
    </row>
    <row r="607" spans="1:22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27"/>
        <v>1</v>
      </c>
      <c r="R607" t="str">
        <f t="shared" si="28"/>
        <v>Unique ID</v>
      </c>
      <c r="V607" t="str">
        <f t="shared" si="29"/>
        <v>No</v>
      </c>
    </row>
    <row r="608" spans="1:22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27"/>
        <v>1</v>
      </c>
      <c r="R608" t="str">
        <f t="shared" si="28"/>
        <v>Unique ID</v>
      </c>
      <c r="V608" t="str">
        <f t="shared" si="29"/>
        <v>No</v>
      </c>
    </row>
    <row r="609" spans="1:22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27"/>
        <v>1</v>
      </c>
      <c r="R609" t="str">
        <f t="shared" si="28"/>
        <v>Unique ID</v>
      </c>
      <c r="V609" t="str">
        <f t="shared" si="29"/>
        <v>No</v>
      </c>
    </row>
    <row r="610" spans="1:22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27"/>
        <v>1</v>
      </c>
      <c r="R610" t="str">
        <f t="shared" si="28"/>
        <v>Unique ID</v>
      </c>
      <c r="V610" t="str">
        <f t="shared" si="29"/>
        <v>No</v>
      </c>
    </row>
    <row r="611" spans="1:22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27"/>
        <v>1</v>
      </c>
      <c r="R611" t="str">
        <f t="shared" si="28"/>
        <v>Unique ID</v>
      </c>
      <c r="V611" t="str">
        <f t="shared" si="29"/>
        <v>No</v>
      </c>
    </row>
    <row r="612" spans="1:22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27"/>
        <v>1</v>
      </c>
      <c r="R612" t="str">
        <f t="shared" si="28"/>
        <v>Unique ID</v>
      </c>
      <c r="V612" t="str">
        <f t="shared" si="29"/>
        <v>No</v>
      </c>
    </row>
    <row r="613" spans="1:22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27"/>
        <v>1</v>
      </c>
      <c r="R613" t="str">
        <f t="shared" si="28"/>
        <v>Unique ID</v>
      </c>
      <c r="V613" t="str">
        <f t="shared" si="29"/>
        <v>No</v>
      </c>
    </row>
    <row r="614" spans="1:22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27"/>
        <v>1</v>
      </c>
      <c r="R614" t="str">
        <f t="shared" si="28"/>
        <v>Unique ID</v>
      </c>
      <c r="V614" t="str">
        <f t="shared" si="29"/>
        <v>No</v>
      </c>
    </row>
    <row r="615" spans="1:22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27"/>
        <v>1</v>
      </c>
      <c r="R615" t="str">
        <f t="shared" si="28"/>
        <v>Unique ID</v>
      </c>
      <c r="V615" t="str">
        <f t="shared" si="29"/>
        <v>No</v>
      </c>
    </row>
    <row r="616" spans="1:22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27"/>
        <v>1</v>
      </c>
      <c r="R616" t="str">
        <f t="shared" si="28"/>
        <v>Unique ID</v>
      </c>
      <c r="V616" t="str">
        <f t="shared" si="29"/>
        <v>No</v>
      </c>
    </row>
    <row r="617" spans="1:22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27"/>
        <v>1</v>
      </c>
      <c r="R617" t="str">
        <f t="shared" si="28"/>
        <v>Unique ID</v>
      </c>
      <c r="V617" t="str">
        <f t="shared" si="29"/>
        <v>No</v>
      </c>
    </row>
    <row r="618" spans="1:22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27"/>
        <v>1</v>
      </c>
      <c r="R618" t="str">
        <f t="shared" si="28"/>
        <v>Unique ID</v>
      </c>
      <c r="V618" t="str">
        <f t="shared" si="29"/>
        <v>No</v>
      </c>
    </row>
    <row r="619" spans="1:22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27"/>
        <v>1</v>
      </c>
      <c r="R619" t="str">
        <f t="shared" si="28"/>
        <v>Unique ID</v>
      </c>
      <c r="V619" t="str">
        <f t="shared" si="29"/>
        <v>No</v>
      </c>
    </row>
    <row r="620" spans="1:22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27"/>
        <v>1</v>
      </c>
      <c r="R620" t="str">
        <f t="shared" si="28"/>
        <v>Unique ID</v>
      </c>
      <c r="V620" t="str">
        <f t="shared" si="29"/>
        <v>No</v>
      </c>
    </row>
    <row r="621" spans="1:22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27"/>
        <v>1</v>
      </c>
      <c r="R621" t="str">
        <f t="shared" si="28"/>
        <v>Unique ID</v>
      </c>
      <c r="V621" t="str">
        <f t="shared" si="29"/>
        <v>No</v>
      </c>
    </row>
    <row r="622" spans="1:22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27"/>
        <v>1</v>
      </c>
      <c r="R622" t="str">
        <f t="shared" si="28"/>
        <v>Unique ID</v>
      </c>
      <c r="V622" t="str">
        <f t="shared" si="29"/>
        <v>No</v>
      </c>
    </row>
    <row r="623" spans="1:22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27"/>
        <v>1</v>
      </c>
      <c r="R623" t="str">
        <f t="shared" si="28"/>
        <v>Unique ID</v>
      </c>
      <c r="V623" t="str">
        <f t="shared" si="29"/>
        <v>No</v>
      </c>
    </row>
    <row r="624" spans="1:22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27"/>
        <v>1</v>
      </c>
      <c r="R624" t="str">
        <f t="shared" si="28"/>
        <v>Unique ID</v>
      </c>
      <c r="V624" t="str">
        <f t="shared" si="29"/>
        <v>No</v>
      </c>
    </row>
    <row r="625" spans="1:22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27"/>
        <v>1</v>
      </c>
      <c r="R625" t="str">
        <f t="shared" si="28"/>
        <v>Unique ID</v>
      </c>
      <c r="V625" t="str">
        <f t="shared" si="29"/>
        <v>No</v>
      </c>
    </row>
    <row r="626" spans="1:22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27"/>
        <v>1</v>
      </c>
      <c r="R626" t="str">
        <f t="shared" si="28"/>
        <v>Unique ID</v>
      </c>
      <c r="V626" t="str">
        <f t="shared" si="29"/>
        <v>No</v>
      </c>
    </row>
    <row r="627" spans="1:22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27"/>
        <v>1</v>
      </c>
      <c r="R627" t="str">
        <f t="shared" si="28"/>
        <v>Unique ID</v>
      </c>
      <c r="V627" t="str">
        <f t="shared" si="29"/>
        <v>No</v>
      </c>
    </row>
    <row r="628" spans="1:22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27"/>
        <v>1</v>
      </c>
      <c r="R628" t="str">
        <f t="shared" si="28"/>
        <v>Unique ID</v>
      </c>
      <c r="V628" t="str">
        <f t="shared" si="29"/>
        <v>No</v>
      </c>
    </row>
    <row r="629" spans="1:22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27"/>
        <v>1</v>
      </c>
      <c r="R629" t="str">
        <f t="shared" si="28"/>
        <v>Unique ID</v>
      </c>
      <c r="V629" t="str">
        <f t="shared" si="29"/>
        <v>No</v>
      </c>
    </row>
    <row r="630" spans="1:22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27"/>
        <v>1</v>
      </c>
      <c r="R630" t="str">
        <f t="shared" si="28"/>
        <v>Unique ID</v>
      </c>
      <c r="V630" t="str">
        <f t="shared" si="29"/>
        <v>No</v>
      </c>
    </row>
    <row r="631" spans="1:22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27"/>
        <v>1</v>
      </c>
      <c r="R631" t="str">
        <f t="shared" si="28"/>
        <v>Unique ID</v>
      </c>
      <c r="V631" t="str">
        <f t="shared" si="29"/>
        <v>No</v>
      </c>
    </row>
    <row r="632" spans="1:22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27"/>
        <v>1</v>
      </c>
      <c r="R632" t="str">
        <f t="shared" si="28"/>
        <v>Unique ID</v>
      </c>
      <c r="V632" t="str">
        <f t="shared" si="29"/>
        <v>No</v>
      </c>
    </row>
    <row r="633" spans="1:22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27"/>
        <v>1</v>
      </c>
      <c r="R633" t="str">
        <f t="shared" si="28"/>
        <v>Unique ID</v>
      </c>
      <c r="V633" t="str">
        <f t="shared" si="29"/>
        <v>No</v>
      </c>
    </row>
    <row r="634" spans="1:22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27"/>
        <v>1</v>
      </c>
      <c r="R634" t="str">
        <f t="shared" si="28"/>
        <v>Unique ID</v>
      </c>
      <c r="V634" t="str">
        <f t="shared" si="29"/>
        <v>No</v>
      </c>
    </row>
    <row r="635" spans="1:22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27"/>
        <v>1</v>
      </c>
      <c r="R635" t="str">
        <f t="shared" si="28"/>
        <v>Unique ID</v>
      </c>
      <c r="V635" t="str">
        <f t="shared" si="29"/>
        <v>No</v>
      </c>
    </row>
    <row r="636" spans="1:22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27"/>
        <v>1</v>
      </c>
      <c r="R636" t="str">
        <f t="shared" si="28"/>
        <v>Unique ID</v>
      </c>
      <c r="V636" t="str">
        <f t="shared" si="29"/>
        <v>No</v>
      </c>
    </row>
    <row r="637" spans="1:22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27"/>
        <v>1</v>
      </c>
      <c r="R637" t="str">
        <f t="shared" si="28"/>
        <v>Unique ID</v>
      </c>
      <c r="V637" t="str">
        <f t="shared" si="29"/>
        <v>No</v>
      </c>
    </row>
    <row r="638" spans="1:22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27"/>
        <v>1</v>
      </c>
      <c r="R638" t="str">
        <f t="shared" si="28"/>
        <v>Unique ID</v>
      </c>
      <c r="V638" t="str">
        <f t="shared" si="29"/>
        <v>No</v>
      </c>
    </row>
    <row r="639" spans="1:22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27"/>
        <v>1</v>
      </c>
      <c r="R639" t="str">
        <f t="shared" si="28"/>
        <v>Unique ID</v>
      </c>
      <c r="V639" t="str">
        <f t="shared" si="29"/>
        <v>No</v>
      </c>
    </row>
    <row r="640" spans="1:22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27"/>
        <v>1</v>
      </c>
      <c r="R640" t="str">
        <f t="shared" si="28"/>
        <v>Unique ID</v>
      </c>
      <c r="V640" t="str">
        <f t="shared" si="29"/>
        <v>No</v>
      </c>
    </row>
    <row r="641" spans="1:22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27"/>
        <v>1</v>
      </c>
      <c r="R641" t="str">
        <f t="shared" si="28"/>
        <v>Unique ID</v>
      </c>
      <c r="V641" t="str">
        <f t="shared" si="29"/>
        <v>No</v>
      </c>
    </row>
    <row r="642" spans="1:22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27"/>
        <v>1</v>
      </c>
      <c r="R642" t="str">
        <f t="shared" si="28"/>
        <v>Unique ID</v>
      </c>
      <c r="V642" t="str">
        <f t="shared" si="29"/>
        <v>No</v>
      </c>
    </row>
    <row r="643" spans="1:22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30">COUNTIF($A:$A,A643)</f>
        <v>1</v>
      </c>
      <c r="R643" t="str">
        <f t="shared" ref="R643:R706" si="31">IF(Q643&gt;1,"Duplicate ID","Unique ID")</f>
        <v>Unique ID</v>
      </c>
      <c r="V643" t="str">
        <f t="shared" ref="V643:V706" si="32">IF(OR(L643&lt;$U$5,L643&gt;$U$6),"Yes","No")</f>
        <v>No</v>
      </c>
    </row>
    <row r="644" spans="1:22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30"/>
        <v>1</v>
      </c>
      <c r="R644" t="str">
        <f t="shared" si="31"/>
        <v>Unique ID</v>
      </c>
      <c r="V644" t="str">
        <f t="shared" si="32"/>
        <v>No</v>
      </c>
    </row>
    <row r="645" spans="1:22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30"/>
        <v>1</v>
      </c>
      <c r="R645" t="str">
        <f t="shared" si="31"/>
        <v>Unique ID</v>
      </c>
      <c r="V645" t="str">
        <f t="shared" si="32"/>
        <v>No</v>
      </c>
    </row>
    <row r="646" spans="1:22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30"/>
        <v>1</v>
      </c>
      <c r="R646" t="str">
        <f t="shared" si="31"/>
        <v>Unique ID</v>
      </c>
      <c r="V646" t="str">
        <f t="shared" si="32"/>
        <v>No</v>
      </c>
    </row>
    <row r="647" spans="1:22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30"/>
        <v>1</v>
      </c>
      <c r="R647" t="str">
        <f t="shared" si="31"/>
        <v>Unique ID</v>
      </c>
      <c r="V647" t="str">
        <f t="shared" si="32"/>
        <v>No</v>
      </c>
    </row>
    <row r="648" spans="1:22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30"/>
        <v>1</v>
      </c>
      <c r="R648" t="str">
        <f t="shared" si="31"/>
        <v>Unique ID</v>
      </c>
      <c r="V648" t="str">
        <f t="shared" si="32"/>
        <v>No</v>
      </c>
    </row>
    <row r="649" spans="1:22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30"/>
        <v>1</v>
      </c>
      <c r="R649" t="str">
        <f t="shared" si="31"/>
        <v>Unique ID</v>
      </c>
      <c r="V649" t="str">
        <f t="shared" si="32"/>
        <v>No</v>
      </c>
    </row>
    <row r="650" spans="1:22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30"/>
        <v>1</v>
      </c>
      <c r="R650" t="str">
        <f t="shared" si="31"/>
        <v>Unique ID</v>
      </c>
      <c r="V650" t="str">
        <f t="shared" si="32"/>
        <v>No</v>
      </c>
    </row>
    <row r="651" spans="1:22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30"/>
        <v>1</v>
      </c>
      <c r="R651" t="str">
        <f t="shared" si="31"/>
        <v>Unique ID</v>
      </c>
      <c r="V651" t="str">
        <f t="shared" si="32"/>
        <v>No</v>
      </c>
    </row>
    <row r="652" spans="1:22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30"/>
        <v>1</v>
      </c>
      <c r="R652" t="str">
        <f t="shared" si="31"/>
        <v>Unique ID</v>
      </c>
      <c r="V652" t="str">
        <f t="shared" si="32"/>
        <v>No</v>
      </c>
    </row>
    <row r="653" spans="1:22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30"/>
        <v>1</v>
      </c>
      <c r="R653" t="str">
        <f t="shared" si="31"/>
        <v>Unique ID</v>
      </c>
      <c r="V653" t="str">
        <f t="shared" si="32"/>
        <v>No</v>
      </c>
    </row>
    <row r="654" spans="1:22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30"/>
        <v>1</v>
      </c>
      <c r="R654" t="str">
        <f t="shared" si="31"/>
        <v>Unique ID</v>
      </c>
      <c r="V654" t="str">
        <f t="shared" si="32"/>
        <v>No</v>
      </c>
    </row>
    <row r="655" spans="1:22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30"/>
        <v>1</v>
      </c>
      <c r="R655" t="str">
        <f t="shared" si="31"/>
        <v>Unique ID</v>
      </c>
      <c r="V655" t="str">
        <f t="shared" si="32"/>
        <v>No</v>
      </c>
    </row>
    <row r="656" spans="1:22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30"/>
        <v>1</v>
      </c>
      <c r="R656" t="str">
        <f t="shared" si="31"/>
        <v>Unique ID</v>
      </c>
      <c r="V656" t="str">
        <f t="shared" si="32"/>
        <v>No</v>
      </c>
    </row>
    <row r="657" spans="1:22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30"/>
        <v>1</v>
      </c>
      <c r="R657" t="str">
        <f t="shared" si="31"/>
        <v>Unique ID</v>
      </c>
      <c r="V657" t="str">
        <f t="shared" si="32"/>
        <v>No</v>
      </c>
    </row>
    <row r="658" spans="1:22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30"/>
        <v>1</v>
      </c>
      <c r="R658" t="str">
        <f t="shared" si="31"/>
        <v>Unique ID</v>
      </c>
      <c r="V658" t="str">
        <f t="shared" si="32"/>
        <v>No</v>
      </c>
    </row>
    <row r="659" spans="1:22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30"/>
        <v>1</v>
      </c>
      <c r="R659" t="str">
        <f t="shared" si="31"/>
        <v>Unique ID</v>
      </c>
      <c r="V659" t="str">
        <f t="shared" si="32"/>
        <v>No</v>
      </c>
    </row>
    <row r="660" spans="1:22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30"/>
        <v>1</v>
      </c>
      <c r="R660" t="str">
        <f t="shared" si="31"/>
        <v>Unique ID</v>
      </c>
      <c r="V660" t="str">
        <f t="shared" si="32"/>
        <v>No</v>
      </c>
    </row>
    <row r="661" spans="1:22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30"/>
        <v>1</v>
      </c>
      <c r="R661" t="str">
        <f t="shared" si="31"/>
        <v>Unique ID</v>
      </c>
      <c r="V661" t="str">
        <f t="shared" si="32"/>
        <v>Yes</v>
      </c>
    </row>
    <row r="662" spans="1:22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30"/>
        <v>1</v>
      </c>
      <c r="R662" t="str">
        <f t="shared" si="31"/>
        <v>Unique ID</v>
      </c>
      <c r="V662" t="str">
        <f t="shared" si="32"/>
        <v>No</v>
      </c>
    </row>
    <row r="663" spans="1:22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30"/>
        <v>1</v>
      </c>
      <c r="R663" t="str">
        <f t="shared" si="31"/>
        <v>Unique ID</v>
      </c>
      <c r="V663" t="str">
        <f t="shared" si="32"/>
        <v>No</v>
      </c>
    </row>
    <row r="664" spans="1:22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30"/>
        <v>1</v>
      </c>
      <c r="R664" t="str">
        <f t="shared" si="31"/>
        <v>Unique ID</v>
      </c>
      <c r="V664" t="str">
        <f t="shared" si="32"/>
        <v>No</v>
      </c>
    </row>
    <row r="665" spans="1:22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30"/>
        <v>1</v>
      </c>
      <c r="R665" t="str">
        <f t="shared" si="31"/>
        <v>Unique ID</v>
      </c>
      <c r="V665" t="str">
        <f t="shared" si="32"/>
        <v>No</v>
      </c>
    </row>
    <row r="666" spans="1:22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30"/>
        <v>1</v>
      </c>
      <c r="R666" t="str">
        <f t="shared" si="31"/>
        <v>Unique ID</v>
      </c>
      <c r="V666" t="str">
        <f t="shared" si="32"/>
        <v>No</v>
      </c>
    </row>
    <row r="667" spans="1:22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30"/>
        <v>1</v>
      </c>
      <c r="R667" t="str">
        <f t="shared" si="31"/>
        <v>Unique ID</v>
      </c>
      <c r="V667" t="str">
        <f t="shared" si="32"/>
        <v>No</v>
      </c>
    </row>
    <row r="668" spans="1:22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30"/>
        <v>1</v>
      </c>
      <c r="R668" t="str">
        <f t="shared" si="31"/>
        <v>Unique ID</v>
      </c>
      <c r="V668" t="str">
        <f t="shared" si="32"/>
        <v>No</v>
      </c>
    </row>
    <row r="669" spans="1:22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30"/>
        <v>1</v>
      </c>
      <c r="R669" t="str">
        <f t="shared" si="31"/>
        <v>Unique ID</v>
      </c>
      <c r="V669" t="str">
        <f t="shared" si="32"/>
        <v>No</v>
      </c>
    </row>
    <row r="670" spans="1:22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30"/>
        <v>1</v>
      </c>
      <c r="R670" t="str">
        <f t="shared" si="31"/>
        <v>Unique ID</v>
      </c>
      <c r="V670" t="str">
        <f t="shared" si="32"/>
        <v>No</v>
      </c>
    </row>
    <row r="671" spans="1:22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30"/>
        <v>1</v>
      </c>
      <c r="R671" t="str">
        <f t="shared" si="31"/>
        <v>Unique ID</v>
      </c>
      <c r="V671" t="str">
        <f t="shared" si="32"/>
        <v>No</v>
      </c>
    </row>
    <row r="672" spans="1:22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30"/>
        <v>1</v>
      </c>
      <c r="R672" t="str">
        <f t="shared" si="31"/>
        <v>Unique ID</v>
      </c>
      <c r="V672" t="str">
        <f t="shared" si="32"/>
        <v>No</v>
      </c>
    </row>
    <row r="673" spans="1:22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30"/>
        <v>1</v>
      </c>
      <c r="R673" t="str">
        <f t="shared" si="31"/>
        <v>Unique ID</v>
      </c>
      <c r="V673" t="str">
        <f t="shared" si="32"/>
        <v>No</v>
      </c>
    </row>
    <row r="674" spans="1:22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30"/>
        <v>1</v>
      </c>
      <c r="R674" t="str">
        <f t="shared" si="31"/>
        <v>Unique ID</v>
      </c>
      <c r="V674" t="str">
        <f t="shared" si="32"/>
        <v>No</v>
      </c>
    </row>
    <row r="675" spans="1:22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30"/>
        <v>1</v>
      </c>
      <c r="R675" t="str">
        <f t="shared" si="31"/>
        <v>Unique ID</v>
      </c>
      <c r="V675" t="str">
        <f t="shared" si="32"/>
        <v>No</v>
      </c>
    </row>
    <row r="676" spans="1:22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30"/>
        <v>1</v>
      </c>
      <c r="R676" t="str">
        <f t="shared" si="31"/>
        <v>Unique ID</v>
      </c>
      <c r="V676" t="str">
        <f t="shared" si="32"/>
        <v>No</v>
      </c>
    </row>
    <row r="677" spans="1:22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30"/>
        <v>1</v>
      </c>
      <c r="R677" t="str">
        <f t="shared" si="31"/>
        <v>Unique ID</v>
      </c>
      <c r="V677" t="str">
        <f t="shared" si="32"/>
        <v>No</v>
      </c>
    </row>
    <row r="678" spans="1:22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30"/>
        <v>1</v>
      </c>
      <c r="R678" t="str">
        <f t="shared" si="31"/>
        <v>Unique ID</v>
      </c>
      <c r="V678" t="str">
        <f t="shared" si="32"/>
        <v>No</v>
      </c>
    </row>
    <row r="679" spans="1:22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30"/>
        <v>1</v>
      </c>
      <c r="R679" t="str">
        <f t="shared" si="31"/>
        <v>Unique ID</v>
      </c>
      <c r="V679" t="str">
        <f t="shared" si="32"/>
        <v>No</v>
      </c>
    </row>
    <row r="680" spans="1:22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30"/>
        <v>1</v>
      </c>
      <c r="R680" t="str">
        <f t="shared" si="31"/>
        <v>Unique ID</v>
      </c>
      <c r="V680" t="str">
        <f t="shared" si="32"/>
        <v>No</v>
      </c>
    </row>
    <row r="681" spans="1:22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30"/>
        <v>1</v>
      </c>
      <c r="R681" t="str">
        <f t="shared" si="31"/>
        <v>Unique ID</v>
      </c>
      <c r="V681" t="str">
        <f t="shared" si="32"/>
        <v>No</v>
      </c>
    </row>
    <row r="682" spans="1:22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30"/>
        <v>1</v>
      </c>
      <c r="R682" t="str">
        <f t="shared" si="31"/>
        <v>Unique ID</v>
      </c>
      <c r="V682" t="str">
        <f t="shared" si="32"/>
        <v>No</v>
      </c>
    </row>
    <row r="683" spans="1:22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30"/>
        <v>1</v>
      </c>
      <c r="R683" t="str">
        <f t="shared" si="31"/>
        <v>Unique ID</v>
      </c>
      <c r="V683" t="str">
        <f t="shared" si="32"/>
        <v>No</v>
      </c>
    </row>
    <row r="684" spans="1:22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30"/>
        <v>1</v>
      </c>
      <c r="R684" t="str">
        <f t="shared" si="31"/>
        <v>Unique ID</v>
      </c>
      <c r="V684" t="str">
        <f t="shared" si="32"/>
        <v>No</v>
      </c>
    </row>
    <row r="685" spans="1:22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30"/>
        <v>1</v>
      </c>
      <c r="R685" t="str">
        <f t="shared" si="31"/>
        <v>Unique ID</v>
      </c>
      <c r="V685" t="str">
        <f t="shared" si="32"/>
        <v>No</v>
      </c>
    </row>
    <row r="686" spans="1:22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30"/>
        <v>1</v>
      </c>
      <c r="R686" t="str">
        <f t="shared" si="31"/>
        <v>Unique ID</v>
      </c>
      <c r="V686" t="str">
        <f t="shared" si="32"/>
        <v>No</v>
      </c>
    </row>
    <row r="687" spans="1:22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30"/>
        <v>1</v>
      </c>
      <c r="R687" t="str">
        <f t="shared" si="31"/>
        <v>Unique ID</v>
      </c>
      <c r="V687" t="str">
        <f t="shared" si="32"/>
        <v>No</v>
      </c>
    </row>
    <row r="688" spans="1:22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30"/>
        <v>1</v>
      </c>
      <c r="R688" t="str">
        <f t="shared" si="31"/>
        <v>Unique ID</v>
      </c>
      <c r="V688" t="str">
        <f t="shared" si="32"/>
        <v>No</v>
      </c>
    </row>
    <row r="689" spans="1:22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30"/>
        <v>1</v>
      </c>
      <c r="R689" t="str">
        <f t="shared" si="31"/>
        <v>Unique ID</v>
      </c>
      <c r="V689" t="str">
        <f t="shared" si="32"/>
        <v>No</v>
      </c>
    </row>
    <row r="690" spans="1:22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30"/>
        <v>1</v>
      </c>
      <c r="R690" t="str">
        <f t="shared" si="31"/>
        <v>Unique ID</v>
      </c>
      <c r="V690" t="str">
        <f t="shared" si="32"/>
        <v>No</v>
      </c>
    </row>
    <row r="691" spans="1:22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30"/>
        <v>1</v>
      </c>
      <c r="R691" t="str">
        <f t="shared" si="31"/>
        <v>Unique ID</v>
      </c>
      <c r="V691" t="str">
        <f t="shared" si="32"/>
        <v>No</v>
      </c>
    </row>
    <row r="692" spans="1:22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30"/>
        <v>1</v>
      </c>
      <c r="R692" t="str">
        <f t="shared" si="31"/>
        <v>Unique ID</v>
      </c>
      <c r="V692" t="str">
        <f t="shared" si="32"/>
        <v>No</v>
      </c>
    </row>
    <row r="693" spans="1:22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30"/>
        <v>1</v>
      </c>
      <c r="R693" t="str">
        <f t="shared" si="31"/>
        <v>Unique ID</v>
      </c>
      <c r="V693" t="str">
        <f t="shared" si="32"/>
        <v>No</v>
      </c>
    </row>
    <row r="694" spans="1:22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30"/>
        <v>1</v>
      </c>
      <c r="R694" t="str">
        <f t="shared" si="31"/>
        <v>Unique ID</v>
      </c>
      <c r="V694" t="str">
        <f t="shared" si="32"/>
        <v>No</v>
      </c>
    </row>
    <row r="695" spans="1:22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30"/>
        <v>1</v>
      </c>
      <c r="R695" t="str">
        <f t="shared" si="31"/>
        <v>Unique ID</v>
      </c>
      <c r="V695" t="str">
        <f t="shared" si="32"/>
        <v>No</v>
      </c>
    </row>
    <row r="696" spans="1:22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30"/>
        <v>1</v>
      </c>
      <c r="R696" t="str">
        <f t="shared" si="31"/>
        <v>Unique ID</v>
      </c>
      <c r="V696" t="str">
        <f t="shared" si="32"/>
        <v>No</v>
      </c>
    </row>
    <row r="697" spans="1:22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30"/>
        <v>1</v>
      </c>
      <c r="R697" t="str">
        <f t="shared" si="31"/>
        <v>Unique ID</v>
      </c>
      <c r="V697" t="str">
        <f t="shared" si="32"/>
        <v>No</v>
      </c>
    </row>
    <row r="698" spans="1:22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30"/>
        <v>1</v>
      </c>
      <c r="R698" t="str">
        <f t="shared" si="31"/>
        <v>Unique ID</v>
      </c>
      <c r="V698" t="str">
        <f t="shared" si="32"/>
        <v>No</v>
      </c>
    </row>
    <row r="699" spans="1:22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30"/>
        <v>1</v>
      </c>
      <c r="R699" t="str">
        <f t="shared" si="31"/>
        <v>Unique ID</v>
      </c>
      <c r="V699" t="str">
        <f t="shared" si="32"/>
        <v>No</v>
      </c>
    </row>
    <row r="700" spans="1:22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30"/>
        <v>1</v>
      </c>
      <c r="R700" t="str">
        <f t="shared" si="31"/>
        <v>Unique ID</v>
      </c>
      <c r="V700" t="str">
        <f t="shared" si="32"/>
        <v>No</v>
      </c>
    </row>
    <row r="701" spans="1:22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30"/>
        <v>1</v>
      </c>
      <c r="R701" t="str">
        <f t="shared" si="31"/>
        <v>Unique ID</v>
      </c>
      <c r="V701" t="str">
        <f t="shared" si="32"/>
        <v>No</v>
      </c>
    </row>
    <row r="702" spans="1:22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30"/>
        <v>1</v>
      </c>
      <c r="R702" t="str">
        <f t="shared" si="31"/>
        <v>Unique ID</v>
      </c>
      <c r="V702" t="str">
        <f t="shared" si="32"/>
        <v>Yes</v>
      </c>
    </row>
    <row r="703" spans="1:22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30"/>
        <v>1</v>
      </c>
      <c r="R703" t="str">
        <f t="shared" si="31"/>
        <v>Unique ID</v>
      </c>
      <c r="V703" t="str">
        <f t="shared" si="32"/>
        <v>No</v>
      </c>
    </row>
    <row r="704" spans="1:22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30"/>
        <v>1</v>
      </c>
      <c r="R704" t="str">
        <f t="shared" si="31"/>
        <v>Unique ID</v>
      </c>
      <c r="V704" t="str">
        <f t="shared" si="32"/>
        <v>No</v>
      </c>
    </row>
    <row r="705" spans="1:22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30"/>
        <v>1</v>
      </c>
      <c r="R705" t="str">
        <f t="shared" si="31"/>
        <v>Unique ID</v>
      </c>
      <c r="V705" t="str">
        <f t="shared" si="32"/>
        <v>No</v>
      </c>
    </row>
    <row r="706" spans="1:22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si="30"/>
        <v>1</v>
      </c>
      <c r="R706" t="str">
        <f t="shared" si="31"/>
        <v>Unique ID</v>
      </c>
      <c r="V706" t="str">
        <f t="shared" si="32"/>
        <v>No</v>
      </c>
    </row>
    <row r="707" spans="1:22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ref="Q707:Q770" si="33">COUNTIF($A:$A,A707)</f>
        <v>1</v>
      </c>
      <c r="R707" t="str">
        <f t="shared" ref="R707:R770" si="34">IF(Q707&gt;1,"Duplicate ID","Unique ID")</f>
        <v>Unique ID</v>
      </c>
      <c r="V707" t="str">
        <f t="shared" ref="V707:V770" si="35">IF(OR(L707&lt;$U$5,L707&gt;$U$6),"Yes","No")</f>
        <v>No</v>
      </c>
    </row>
    <row r="708" spans="1:22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33"/>
        <v>1</v>
      </c>
      <c r="R708" t="str">
        <f t="shared" si="34"/>
        <v>Unique ID</v>
      </c>
      <c r="V708" t="str">
        <f t="shared" si="35"/>
        <v>No</v>
      </c>
    </row>
    <row r="709" spans="1:22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33"/>
        <v>1</v>
      </c>
      <c r="R709" t="str">
        <f t="shared" si="34"/>
        <v>Unique ID</v>
      </c>
      <c r="V709" t="str">
        <f t="shared" si="35"/>
        <v>No</v>
      </c>
    </row>
    <row r="710" spans="1:22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33"/>
        <v>1</v>
      </c>
      <c r="R710" t="str">
        <f t="shared" si="34"/>
        <v>Unique ID</v>
      </c>
      <c r="V710" t="str">
        <f t="shared" si="35"/>
        <v>No</v>
      </c>
    </row>
    <row r="711" spans="1:22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33"/>
        <v>1</v>
      </c>
      <c r="R711" t="str">
        <f t="shared" si="34"/>
        <v>Unique ID</v>
      </c>
      <c r="V711" t="str">
        <f t="shared" si="35"/>
        <v>No</v>
      </c>
    </row>
    <row r="712" spans="1:22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33"/>
        <v>1</v>
      </c>
      <c r="R712" t="str">
        <f t="shared" si="34"/>
        <v>Unique ID</v>
      </c>
      <c r="V712" t="str">
        <f t="shared" si="35"/>
        <v>No</v>
      </c>
    </row>
    <row r="713" spans="1:22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33"/>
        <v>1</v>
      </c>
      <c r="R713" t="str">
        <f t="shared" si="34"/>
        <v>Unique ID</v>
      </c>
      <c r="V713" t="str">
        <f t="shared" si="35"/>
        <v>No</v>
      </c>
    </row>
    <row r="714" spans="1:22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33"/>
        <v>1</v>
      </c>
      <c r="R714" t="str">
        <f t="shared" si="34"/>
        <v>Unique ID</v>
      </c>
      <c r="V714" t="str">
        <f t="shared" si="35"/>
        <v>Yes</v>
      </c>
    </row>
    <row r="715" spans="1:22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33"/>
        <v>1</v>
      </c>
      <c r="R715" t="str">
        <f t="shared" si="34"/>
        <v>Unique ID</v>
      </c>
      <c r="V715" t="str">
        <f t="shared" si="35"/>
        <v>Yes</v>
      </c>
    </row>
    <row r="716" spans="1:22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33"/>
        <v>1</v>
      </c>
      <c r="R716" t="str">
        <f t="shared" si="34"/>
        <v>Unique ID</v>
      </c>
      <c r="V716" t="str">
        <f t="shared" si="35"/>
        <v>No</v>
      </c>
    </row>
    <row r="717" spans="1:22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33"/>
        <v>1</v>
      </c>
      <c r="R717" t="str">
        <f t="shared" si="34"/>
        <v>Unique ID</v>
      </c>
      <c r="V717" t="str">
        <f t="shared" si="35"/>
        <v>No</v>
      </c>
    </row>
    <row r="718" spans="1:22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33"/>
        <v>1</v>
      </c>
      <c r="R718" t="str">
        <f t="shared" si="34"/>
        <v>Unique ID</v>
      </c>
      <c r="V718" t="str">
        <f t="shared" si="35"/>
        <v>No</v>
      </c>
    </row>
    <row r="719" spans="1:22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33"/>
        <v>1</v>
      </c>
      <c r="R719" t="str">
        <f t="shared" si="34"/>
        <v>Unique ID</v>
      </c>
      <c r="V719" t="str">
        <f t="shared" si="35"/>
        <v>No</v>
      </c>
    </row>
    <row r="720" spans="1:22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33"/>
        <v>1</v>
      </c>
      <c r="R720" t="str">
        <f t="shared" si="34"/>
        <v>Unique ID</v>
      </c>
      <c r="V720" t="str">
        <f t="shared" si="35"/>
        <v>No</v>
      </c>
    </row>
    <row r="721" spans="1:22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33"/>
        <v>1</v>
      </c>
      <c r="R721" t="str">
        <f t="shared" si="34"/>
        <v>Unique ID</v>
      </c>
      <c r="V721" t="str">
        <f t="shared" si="35"/>
        <v>No</v>
      </c>
    </row>
    <row r="722" spans="1:22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33"/>
        <v>1</v>
      </c>
      <c r="R722" t="str">
        <f t="shared" si="34"/>
        <v>Unique ID</v>
      </c>
      <c r="V722" t="str">
        <f t="shared" si="35"/>
        <v>No</v>
      </c>
    </row>
    <row r="723" spans="1:22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33"/>
        <v>1</v>
      </c>
      <c r="R723" t="str">
        <f t="shared" si="34"/>
        <v>Unique ID</v>
      </c>
      <c r="V723" t="str">
        <f t="shared" si="35"/>
        <v>No</v>
      </c>
    </row>
    <row r="724" spans="1:22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33"/>
        <v>1</v>
      </c>
      <c r="R724" t="str">
        <f t="shared" si="34"/>
        <v>Unique ID</v>
      </c>
      <c r="V724" t="str">
        <f t="shared" si="35"/>
        <v>No</v>
      </c>
    </row>
    <row r="725" spans="1:22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33"/>
        <v>1</v>
      </c>
      <c r="R725" t="str">
        <f t="shared" si="34"/>
        <v>Unique ID</v>
      </c>
      <c r="V725" t="str">
        <f t="shared" si="35"/>
        <v>No</v>
      </c>
    </row>
    <row r="726" spans="1:22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33"/>
        <v>1</v>
      </c>
      <c r="R726" t="str">
        <f t="shared" si="34"/>
        <v>Unique ID</v>
      </c>
      <c r="V726" t="str">
        <f t="shared" si="35"/>
        <v>No</v>
      </c>
    </row>
    <row r="727" spans="1:22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33"/>
        <v>1</v>
      </c>
      <c r="R727" t="str">
        <f t="shared" si="34"/>
        <v>Unique ID</v>
      </c>
      <c r="V727" t="str">
        <f t="shared" si="35"/>
        <v>No</v>
      </c>
    </row>
    <row r="728" spans="1:22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33"/>
        <v>1</v>
      </c>
      <c r="R728" t="str">
        <f t="shared" si="34"/>
        <v>Unique ID</v>
      </c>
      <c r="V728" t="str">
        <f t="shared" si="35"/>
        <v>No</v>
      </c>
    </row>
    <row r="729" spans="1:22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33"/>
        <v>1</v>
      </c>
      <c r="R729" t="str">
        <f t="shared" si="34"/>
        <v>Unique ID</v>
      </c>
      <c r="V729" t="str">
        <f t="shared" si="35"/>
        <v>Yes</v>
      </c>
    </row>
    <row r="730" spans="1:22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33"/>
        <v>1</v>
      </c>
      <c r="R730" t="str">
        <f t="shared" si="34"/>
        <v>Unique ID</v>
      </c>
      <c r="V730" t="str">
        <f t="shared" si="35"/>
        <v>No</v>
      </c>
    </row>
    <row r="731" spans="1:22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33"/>
        <v>1</v>
      </c>
      <c r="R731" t="str">
        <f t="shared" si="34"/>
        <v>Unique ID</v>
      </c>
      <c r="V731" t="str">
        <f t="shared" si="35"/>
        <v>No</v>
      </c>
    </row>
    <row r="732" spans="1:22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33"/>
        <v>1</v>
      </c>
      <c r="R732" t="str">
        <f t="shared" si="34"/>
        <v>Unique ID</v>
      </c>
      <c r="V732" t="str">
        <f t="shared" si="35"/>
        <v>No</v>
      </c>
    </row>
    <row r="733" spans="1:22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33"/>
        <v>1</v>
      </c>
      <c r="R733" t="str">
        <f t="shared" si="34"/>
        <v>Unique ID</v>
      </c>
      <c r="V733" t="str">
        <f t="shared" si="35"/>
        <v>Yes</v>
      </c>
    </row>
    <row r="734" spans="1:22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33"/>
        <v>1</v>
      </c>
      <c r="R734" t="str">
        <f t="shared" si="34"/>
        <v>Unique ID</v>
      </c>
      <c r="V734" t="str">
        <f t="shared" si="35"/>
        <v>No</v>
      </c>
    </row>
    <row r="735" spans="1:22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33"/>
        <v>1</v>
      </c>
      <c r="R735" t="str">
        <f t="shared" si="34"/>
        <v>Unique ID</v>
      </c>
      <c r="V735" t="str">
        <f t="shared" si="35"/>
        <v>No</v>
      </c>
    </row>
    <row r="736" spans="1:22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33"/>
        <v>1</v>
      </c>
      <c r="R736" t="str">
        <f t="shared" si="34"/>
        <v>Unique ID</v>
      </c>
      <c r="V736" t="str">
        <f t="shared" si="35"/>
        <v>No</v>
      </c>
    </row>
    <row r="737" spans="1:22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33"/>
        <v>1</v>
      </c>
      <c r="R737" t="str">
        <f t="shared" si="34"/>
        <v>Unique ID</v>
      </c>
      <c r="V737" t="str">
        <f t="shared" si="35"/>
        <v>No</v>
      </c>
    </row>
    <row r="738" spans="1:22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33"/>
        <v>1</v>
      </c>
      <c r="R738" t="str">
        <f t="shared" si="34"/>
        <v>Unique ID</v>
      </c>
      <c r="V738" t="str">
        <f t="shared" si="35"/>
        <v>No</v>
      </c>
    </row>
    <row r="739" spans="1:22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33"/>
        <v>1</v>
      </c>
      <c r="R739" t="str">
        <f t="shared" si="34"/>
        <v>Unique ID</v>
      </c>
      <c r="V739" t="str">
        <f t="shared" si="35"/>
        <v>No</v>
      </c>
    </row>
    <row r="740" spans="1:22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33"/>
        <v>1</v>
      </c>
      <c r="R740" t="str">
        <f t="shared" si="34"/>
        <v>Unique ID</v>
      </c>
      <c r="V740" t="str">
        <f t="shared" si="35"/>
        <v>No</v>
      </c>
    </row>
    <row r="741" spans="1:22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33"/>
        <v>1</v>
      </c>
      <c r="R741" t="str">
        <f t="shared" si="34"/>
        <v>Unique ID</v>
      </c>
      <c r="V741" t="str">
        <f t="shared" si="35"/>
        <v>No</v>
      </c>
    </row>
    <row r="742" spans="1:22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33"/>
        <v>1</v>
      </c>
      <c r="R742" t="str">
        <f t="shared" si="34"/>
        <v>Unique ID</v>
      </c>
      <c r="V742" t="str">
        <f t="shared" si="35"/>
        <v>No</v>
      </c>
    </row>
    <row r="743" spans="1:22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33"/>
        <v>1</v>
      </c>
      <c r="R743" t="str">
        <f t="shared" si="34"/>
        <v>Unique ID</v>
      </c>
      <c r="V743" t="str">
        <f t="shared" si="35"/>
        <v>No</v>
      </c>
    </row>
    <row r="744" spans="1:22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33"/>
        <v>1</v>
      </c>
      <c r="R744" t="str">
        <f t="shared" si="34"/>
        <v>Unique ID</v>
      </c>
      <c r="V744" t="str">
        <f t="shared" si="35"/>
        <v>No</v>
      </c>
    </row>
    <row r="745" spans="1:22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33"/>
        <v>1</v>
      </c>
      <c r="R745" t="str">
        <f t="shared" si="34"/>
        <v>Unique ID</v>
      </c>
      <c r="V745" t="str">
        <f t="shared" si="35"/>
        <v>No</v>
      </c>
    </row>
    <row r="746" spans="1:22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33"/>
        <v>1</v>
      </c>
      <c r="R746" t="str">
        <f t="shared" si="34"/>
        <v>Unique ID</v>
      </c>
      <c r="V746" t="str">
        <f t="shared" si="35"/>
        <v>No</v>
      </c>
    </row>
    <row r="747" spans="1:22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33"/>
        <v>1</v>
      </c>
      <c r="R747" t="str">
        <f t="shared" si="34"/>
        <v>Unique ID</v>
      </c>
      <c r="V747" t="str">
        <f t="shared" si="35"/>
        <v>No</v>
      </c>
    </row>
    <row r="748" spans="1:22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33"/>
        <v>1</v>
      </c>
      <c r="R748" t="str">
        <f t="shared" si="34"/>
        <v>Unique ID</v>
      </c>
      <c r="V748" t="str">
        <f t="shared" si="35"/>
        <v>No</v>
      </c>
    </row>
    <row r="749" spans="1:22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33"/>
        <v>1</v>
      </c>
      <c r="R749" t="str">
        <f t="shared" si="34"/>
        <v>Unique ID</v>
      </c>
      <c r="V749" t="str">
        <f t="shared" si="35"/>
        <v>No</v>
      </c>
    </row>
    <row r="750" spans="1:22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33"/>
        <v>1</v>
      </c>
      <c r="R750" t="str">
        <f t="shared" si="34"/>
        <v>Unique ID</v>
      </c>
      <c r="V750" t="str">
        <f t="shared" si="35"/>
        <v>No</v>
      </c>
    </row>
    <row r="751" spans="1:22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33"/>
        <v>1</v>
      </c>
      <c r="R751" t="str">
        <f t="shared" si="34"/>
        <v>Unique ID</v>
      </c>
      <c r="V751" t="str">
        <f t="shared" si="35"/>
        <v>No</v>
      </c>
    </row>
    <row r="752" spans="1:22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33"/>
        <v>1</v>
      </c>
      <c r="R752" t="str">
        <f t="shared" si="34"/>
        <v>Unique ID</v>
      </c>
      <c r="V752" t="str">
        <f t="shared" si="35"/>
        <v>No</v>
      </c>
    </row>
    <row r="753" spans="1:22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33"/>
        <v>1</v>
      </c>
      <c r="R753" t="str">
        <f t="shared" si="34"/>
        <v>Unique ID</v>
      </c>
      <c r="V753" t="str">
        <f t="shared" si="35"/>
        <v>No</v>
      </c>
    </row>
    <row r="754" spans="1:22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33"/>
        <v>1</v>
      </c>
      <c r="R754" t="str">
        <f t="shared" si="34"/>
        <v>Unique ID</v>
      </c>
      <c r="V754" t="str">
        <f t="shared" si="35"/>
        <v>No</v>
      </c>
    </row>
    <row r="755" spans="1:22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33"/>
        <v>1</v>
      </c>
      <c r="R755" t="str">
        <f t="shared" si="34"/>
        <v>Unique ID</v>
      </c>
      <c r="V755" t="str">
        <f t="shared" si="35"/>
        <v>No</v>
      </c>
    </row>
    <row r="756" spans="1:22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33"/>
        <v>1</v>
      </c>
      <c r="R756" t="str">
        <f t="shared" si="34"/>
        <v>Unique ID</v>
      </c>
      <c r="V756" t="str">
        <f t="shared" si="35"/>
        <v>No</v>
      </c>
    </row>
    <row r="757" spans="1:22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33"/>
        <v>1</v>
      </c>
      <c r="R757" t="str">
        <f t="shared" si="34"/>
        <v>Unique ID</v>
      </c>
      <c r="V757" t="str">
        <f t="shared" si="35"/>
        <v>No</v>
      </c>
    </row>
    <row r="758" spans="1:22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33"/>
        <v>1</v>
      </c>
      <c r="R758" t="str">
        <f t="shared" si="34"/>
        <v>Unique ID</v>
      </c>
      <c r="V758" t="str">
        <f t="shared" si="35"/>
        <v>No</v>
      </c>
    </row>
    <row r="759" spans="1:22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33"/>
        <v>1</v>
      </c>
      <c r="R759" t="str">
        <f t="shared" si="34"/>
        <v>Unique ID</v>
      </c>
      <c r="V759" t="str">
        <f t="shared" si="35"/>
        <v>Yes</v>
      </c>
    </row>
    <row r="760" spans="1:22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33"/>
        <v>1</v>
      </c>
      <c r="R760" t="str">
        <f t="shared" si="34"/>
        <v>Unique ID</v>
      </c>
      <c r="V760" t="str">
        <f t="shared" si="35"/>
        <v>No</v>
      </c>
    </row>
    <row r="761" spans="1:22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33"/>
        <v>1</v>
      </c>
      <c r="R761" t="str">
        <f t="shared" si="34"/>
        <v>Unique ID</v>
      </c>
      <c r="V761" t="str">
        <f t="shared" si="35"/>
        <v>No</v>
      </c>
    </row>
    <row r="762" spans="1:22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33"/>
        <v>1</v>
      </c>
      <c r="R762" t="str">
        <f t="shared" si="34"/>
        <v>Unique ID</v>
      </c>
      <c r="V762" t="str">
        <f t="shared" si="35"/>
        <v>No</v>
      </c>
    </row>
    <row r="763" spans="1:22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33"/>
        <v>1</v>
      </c>
      <c r="R763" t="str">
        <f t="shared" si="34"/>
        <v>Unique ID</v>
      </c>
      <c r="V763" t="str">
        <f t="shared" si="35"/>
        <v>No</v>
      </c>
    </row>
    <row r="764" spans="1:22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33"/>
        <v>1</v>
      </c>
      <c r="R764" t="str">
        <f t="shared" si="34"/>
        <v>Unique ID</v>
      </c>
      <c r="V764" t="str">
        <f t="shared" si="35"/>
        <v>No</v>
      </c>
    </row>
    <row r="765" spans="1:22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33"/>
        <v>1</v>
      </c>
      <c r="R765" t="str">
        <f t="shared" si="34"/>
        <v>Unique ID</v>
      </c>
      <c r="V765" t="str">
        <f t="shared" si="35"/>
        <v>No</v>
      </c>
    </row>
    <row r="766" spans="1:22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33"/>
        <v>1</v>
      </c>
      <c r="R766" t="str">
        <f t="shared" si="34"/>
        <v>Unique ID</v>
      </c>
      <c r="V766" t="str">
        <f t="shared" si="35"/>
        <v>No</v>
      </c>
    </row>
    <row r="767" spans="1:22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33"/>
        <v>1</v>
      </c>
      <c r="R767" t="str">
        <f t="shared" si="34"/>
        <v>Unique ID</v>
      </c>
      <c r="V767" t="str">
        <f t="shared" si="35"/>
        <v>No</v>
      </c>
    </row>
    <row r="768" spans="1:22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33"/>
        <v>1</v>
      </c>
      <c r="R768" t="str">
        <f t="shared" si="34"/>
        <v>Unique ID</v>
      </c>
      <c r="V768" t="str">
        <f t="shared" si="35"/>
        <v>No</v>
      </c>
    </row>
    <row r="769" spans="1:22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33"/>
        <v>1</v>
      </c>
      <c r="R769" t="str">
        <f t="shared" si="34"/>
        <v>Unique ID</v>
      </c>
      <c r="V769" t="str">
        <f t="shared" si="35"/>
        <v>No</v>
      </c>
    </row>
    <row r="770" spans="1:22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si="33"/>
        <v>1</v>
      </c>
      <c r="R770" t="str">
        <f t="shared" si="34"/>
        <v>Unique ID</v>
      </c>
      <c r="V770" t="str">
        <f t="shared" si="35"/>
        <v>No</v>
      </c>
    </row>
    <row r="771" spans="1:22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ref="Q771:Q834" si="36">COUNTIF($A:$A,A771)</f>
        <v>1</v>
      </c>
      <c r="R771" t="str">
        <f t="shared" ref="R771:R834" si="37">IF(Q771&gt;1,"Duplicate ID","Unique ID")</f>
        <v>Unique ID</v>
      </c>
      <c r="V771" t="str">
        <f t="shared" ref="V771:V834" si="38">IF(OR(L771&lt;$U$5,L771&gt;$U$6),"Yes","No")</f>
        <v>No</v>
      </c>
    </row>
    <row r="772" spans="1:22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36"/>
        <v>1</v>
      </c>
      <c r="R772" t="str">
        <f t="shared" si="37"/>
        <v>Unique ID</v>
      </c>
      <c r="V772" t="str">
        <f t="shared" si="38"/>
        <v>No</v>
      </c>
    </row>
    <row r="773" spans="1:22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36"/>
        <v>1</v>
      </c>
      <c r="R773" t="str">
        <f t="shared" si="37"/>
        <v>Unique ID</v>
      </c>
      <c r="V773" t="str">
        <f t="shared" si="38"/>
        <v>No</v>
      </c>
    </row>
    <row r="774" spans="1:22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36"/>
        <v>1</v>
      </c>
      <c r="R774" t="str">
        <f t="shared" si="37"/>
        <v>Unique ID</v>
      </c>
      <c r="V774" t="str">
        <f t="shared" si="38"/>
        <v>No</v>
      </c>
    </row>
    <row r="775" spans="1:22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36"/>
        <v>1</v>
      </c>
      <c r="R775" t="str">
        <f t="shared" si="37"/>
        <v>Unique ID</v>
      </c>
      <c r="V775" t="str">
        <f t="shared" si="38"/>
        <v>No</v>
      </c>
    </row>
    <row r="776" spans="1:22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36"/>
        <v>1</v>
      </c>
      <c r="R776" t="str">
        <f t="shared" si="37"/>
        <v>Unique ID</v>
      </c>
      <c r="V776" t="str">
        <f t="shared" si="38"/>
        <v>No</v>
      </c>
    </row>
    <row r="777" spans="1:22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36"/>
        <v>1</v>
      </c>
      <c r="R777" t="str">
        <f t="shared" si="37"/>
        <v>Unique ID</v>
      </c>
      <c r="V777" t="str">
        <f t="shared" si="38"/>
        <v>No</v>
      </c>
    </row>
    <row r="778" spans="1:22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36"/>
        <v>1</v>
      </c>
      <c r="R778" t="str">
        <f t="shared" si="37"/>
        <v>Unique ID</v>
      </c>
      <c r="V778" t="str">
        <f t="shared" si="38"/>
        <v>No</v>
      </c>
    </row>
    <row r="779" spans="1:22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36"/>
        <v>1</v>
      </c>
      <c r="R779" t="str">
        <f t="shared" si="37"/>
        <v>Unique ID</v>
      </c>
      <c r="V779" t="str">
        <f t="shared" si="38"/>
        <v>No</v>
      </c>
    </row>
    <row r="780" spans="1:22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36"/>
        <v>1</v>
      </c>
      <c r="R780" t="str">
        <f t="shared" si="37"/>
        <v>Unique ID</v>
      </c>
      <c r="V780" t="str">
        <f t="shared" si="38"/>
        <v>No</v>
      </c>
    </row>
    <row r="781" spans="1:22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36"/>
        <v>1</v>
      </c>
      <c r="R781" t="str">
        <f t="shared" si="37"/>
        <v>Unique ID</v>
      </c>
      <c r="V781" t="str">
        <f t="shared" si="38"/>
        <v>No</v>
      </c>
    </row>
    <row r="782" spans="1:22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36"/>
        <v>1</v>
      </c>
      <c r="R782" t="str">
        <f t="shared" si="37"/>
        <v>Unique ID</v>
      </c>
      <c r="V782" t="str">
        <f t="shared" si="38"/>
        <v>No</v>
      </c>
    </row>
    <row r="783" spans="1:22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36"/>
        <v>1</v>
      </c>
      <c r="R783" t="str">
        <f t="shared" si="37"/>
        <v>Unique ID</v>
      </c>
      <c r="V783" t="str">
        <f t="shared" si="38"/>
        <v>No</v>
      </c>
    </row>
    <row r="784" spans="1:22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36"/>
        <v>1</v>
      </c>
      <c r="R784" t="str">
        <f t="shared" si="37"/>
        <v>Unique ID</v>
      </c>
      <c r="V784" t="str">
        <f t="shared" si="38"/>
        <v>No</v>
      </c>
    </row>
    <row r="785" spans="1:22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36"/>
        <v>1</v>
      </c>
      <c r="R785" t="str">
        <f t="shared" si="37"/>
        <v>Unique ID</v>
      </c>
      <c r="V785" t="str">
        <f t="shared" si="38"/>
        <v>No</v>
      </c>
    </row>
    <row r="786" spans="1:22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36"/>
        <v>1</v>
      </c>
      <c r="R786" t="str">
        <f t="shared" si="37"/>
        <v>Unique ID</v>
      </c>
      <c r="V786" t="str">
        <f t="shared" si="38"/>
        <v>No</v>
      </c>
    </row>
    <row r="787" spans="1:22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36"/>
        <v>1</v>
      </c>
      <c r="R787" t="str">
        <f t="shared" si="37"/>
        <v>Unique ID</v>
      </c>
      <c r="V787" t="str">
        <f t="shared" si="38"/>
        <v>No</v>
      </c>
    </row>
    <row r="788" spans="1:22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36"/>
        <v>1</v>
      </c>
      <c r="R788" t="str">
        <f t="shared" si="37"/>
        <v>Unique ID</v>
      </c>
      <c r="V788" t="str">
        <f t="shared" si="38"/>
        <v>No</v>
      </c>
    </row>
    <row r="789" spans="1:22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36"/>
        <v>1</v>
      </c>
      <c r="R789" t="str">
        <f t="shared" si="37"/>
        <v>Unique ID</v>
      </c>
      <c r="V789" t="str">
        <f t="shared" si="38"/>
        <v>No</v>
      </c>
    </row>
    <row r="790" spans="1:22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36"/>
        <v>1</v>
      </c>
      <c r="R790" t="str">
        <f t="shared" si="37"/>
        <v>Unique ID</v>
      </c>
      <c r="V790" t="str">
        <f t="shared" si="38"/>
        <v>No</v>
      </c>
    </row>
    <row r="791" spans="1:22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36"/>
        <v>1</v>
      </c>
      <c r="R791" t="str">
        <f t="shared" si="37"/>
        <v>Unique ID</v>
      </c>
      <c r="V791" t="str">
        <f t="shared" si="38"/>
        <v>No</v>
      </c>
    </row>
    <row r="792" spans="1:22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36"/>
        <v>1</v>
      </c>
      <c r="R792" t="str">
        <f t="shared" si="37"/>
        <v>Unique ID</v>
      </c>
      <c r="V792" t="str">
        <f t="shared" si="38"/>
        <v>No</v>
      </c>
    </row>
    <row r="793" spans="1:22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36"/>
        <v>1</v>
      </c>
      <c r="R793" t="str">
        <f t="shared" si="37"/>
        <v>Unique ID</v>
      </c>
      <c r="V793" t="str">
        <f t="shared" si="38"/>
        <v>No</v>
      </c>
    </row>
    <row r="794" spans="1:22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36"/>
        <v>1</v>
      </c>
      <c r="R794" t="str">
        <f t="shared" si="37"/>
        <v>Unique ID</v>
      </c>
      <c r="V794" t="str">
        <f t="shared" si="38"/>
        <v>No</v>
      </c>
    </row>
    <row r="795" spans="1:22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36"/>
        <v>1</v>
      </c>
      <c r="R795" t="str">
        <f t="shared" si="37"/>
        <v>Unique ID</v>
      </c>
      <c r="V795" t="str">
        <f t="shared" si="38"/>
        <v>No</v>
      </c>
    </row>
    <row r="796" spans="1:22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36"/>
        <v>1</v>
      </c>
      <c r="R796" t="str">
        <f t="shared" si="37"/>
        <v>Unique ID</v>
      </c>
      <c r="V796" t="str">
        <f t="shared" si="38"/>
        <v>No</v>
      </c>
    </row>
    <row r="797" spans="1:22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36"/>
        <v>1</v>
      </c>
      <c r="R797" t="str">
        <f t="shared" si="37"/>
        <v>Unique ID</v>
      </c>
      <c r="V797" t="str">
        <f t="shared" si="38"/>
        <v>No</v>
      </c>
    </row>
    <row r="798" spans="1:22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36"/>
        <v>1</v>
      </c>
      <c r="R798" t="str">
        <f t="shared" si="37"/>
        <v>Unique ID</v>
      </c>
      <c r="V798" t="str">
        <f t="shared" si="38"/>
        <v>No</v>
      </c>
    </row>
    <row r="799" spans="1:22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36"/>
        <v>1</v>
      </c>
      <c r="R799" t="str">
        <f t="shared" si="37"/>
        <v>Unique ID</v>
      </c>
      <c r="V799" t="str">
        <f t="shared" si="38"/>
        <v>No</v>
      </c>
    </row>
    <row r="800" spans="1:22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36"/>
        <v>1</v>
      </c>
      <c r="R800" t="str">
        <f t="shared" si="37"/>
        <v>Unique ID</v>
      </c>
      <c r="V800" t="str">
        <f t="shared" si="38"/>
        <v>No</v>
      </c>
    </row>
    <row r="801" spans="1:22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36"/>
        <v>1</v>
      </c>
      <c r="R801" t="str">
        <f t="shared" si="37"/>
        <v>Unique ID</v>
      </c>
      <c r="V801" t="str">
        <f t="shared" si="38"/>
        <v>No</v>
      </c>
    </row>
    <row r="802" spans="1:22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36"/>
        <v>1</v>
      </c>
      <c r="R802" t="str">
        <f t="shared" si="37"/>
        <v>Unique ID</v>
      </c>
      <c r="V802" t="str">
        <f t="shared" si="38"/>
        <v>No</v>
      </c>
    </row>
    <row r="803" spans="1:22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36"/>
        <v>1</v>
      </c>
      <c r="R803" t="str">
        <f t="shared" si="37"/>
        <v>Unique ID</v>
      </c>
      <c r="V803" t="str">
        <f t="shared" si="38"/>
        <v>No</v>
      </c>
    </row>
    <row r="804" spans="1:22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36"/>
        <v>1</v>
      </c>
      <c r="R804" t="str">
        <f t="shared" si="37"/>
        <v>Unique ID</v>
      </c>
      <c r="V804" t="str">
        <f t="shared" si="38"/>
        <v>No</v>
      </c>
    </row>
    <row r="805" spans="1:22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36"/>
        <v>1</v>
      </c>
      <c r="R805" t="str">
        <f t="shared" si="37"/>
        <v>Unique ID</v>
      </c>
      <c r="V805" t="str">
        <f t="shared" si="38"/>
        <v>No</v>
      </c>
    </row>
    <row r="806" spans="1:22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36"/>
        <v>1</v>
      </c>
      <c r="R806" t="str">
        <f t="shared" si="37"/>
        <v>Unique ID</v>
      </c>
      <c r="V806" t="str">
        <f t="shared" si="38"/>
        <v>Yes</v>
      </c>
    </row>
    <row r="807" spans="1:22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36"/>
        <v>1</v>
      </c>
      <c r="R807" t="str">
        <f t="shared" si="37"/>
        <v>Unique ID</v>
      </c>
      <c r="V807" t="str">
        <f t="shared" si="38"/>
        <v>No</v>
      </c>
    </row>
    <row r="808" spans="1:22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36"/>
        <v>1</v>
      </c>
      <c r="R808" t="str">
        <f t="shared" si="37"/>
        <v>Unique ID</v>
      </c>
      <c r="V808" t="str">
        <f t="shared" si="38"/>
        <v>No</v>
      </c>
    </row>
    <row r="809" spans="1:22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36"/>
        <v>1</v>
      </c>
      <c r="R809" t="str">
        <f t="shared" si="37"/>
        <v>Unique ID</v>
      </c>
      <c r="V809" t="str">
        <f t="shared" si="38"/>
        <v>No</v>
      </c>
    </row>
    <row r="810" spans="1:22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36"/>
        <v>1</v>
      </c>
      <c r="R810" t="str">
        <f t="shared" si="37"/>
        <v>Unique ID</v>
      </c>
      <c r="V810" t="str">
        <f t="shared" si="38"/>
        <v>No</v>
      </c>
    </row>
    <row r="811" spans="1:22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36"/>
        <v>1</v>
      </c>
      <c r="R811" t="str">
        <f t="shared" si="37"/>
        <v>Unique ID</v>
      </c>
      <c r="V811" t="str">
        <f t="shared" si="38"/>
        <v>No</v>
      </c>
    </row>
    <row r="812" spans="1:22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36"/>
        <v>1</v>
      </c>
      <c r="R812" t="str">
        <f t="shared" si="37"/>
        <v>Unique ID</v>
      </c>
      <c r="V812" t="str">
        <f t="shared" si="38"/>
        <v>No</v>
      </c>
    </row>
    <row r="813" spans="1:22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36"/>
        <v>1</v>
      </c>
      <c r="R813" t="str">
        <f t="shared" si="37"/>
        <v>Unique ID</v>
      </c>
      <c r="V813" t="str">
        <f t="shared" si="38"/>
        <v>No</v>
      </c>
    </row>
    <row r="814" spans="1:22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36"/>
        <v>1</v>
      </c>
      <c r="R814" t="str">
        <f t="shared" si="37"/>
        <v>Unique ID</v>
      </c>
      <c r="V814" t="str">
        <f t="shared" si="38"/>
        <v>No</v>
      </c>
    </row>
    <row r="815" spans="1:22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36"/>
        <v>1</v>
      </c>
      <c r="R815" t="str">
        <f t="shared" si="37"/>
        <v>Unique ID</v>
      </c>
      <c r="V815" t="str">
        <f t="shared" si="38"/>
        <v>Yes</v>
      </c>
    </row>
    <row r="816" spans="1:22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36"/>
        <v>1</v>
      </c>
      <c r="R816" t="str">
        <f t="shared" si="37"/>
        <v>Unique ID</v>
      </c>
      <c r="V816" t="str">
        <f t="shared" si="38"/>
        <v>No</v>
      </c>
    </row>
    <row r="817" spans="1:22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36"/>
        <v>1</v>
      </c>
      <c r="R817" t="str">
        <f t="shared" si="37"/>
        <v>Unique ID</v>
      </c>
      <c r="V817" t="str">
        <f t="shared" si="38"/>
        <v>No</v>
      </c>
    </row>
    <row r="818" spans="1:22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36"/>
        <v>1</v>
      </c>
      <c r="R818" t="str">
        <f t="shared" si="37"/>
        <v>Unique ID</v>
      </c>
      <c r="V818" t="str">
        <f t="shared" si="38"/>
        <v>No</v>
      </c>
    </row>
    <row r="819" spans="1:22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36"/>
        <v>1</v>
      </c>
      <c r="R819" t="str">
        <f t="shared" si="37"/>
        <v>Unique ID</v>
      </c>
      <c r="V819" t="str">
        <f t="shared" si="38"/>
        <v>No</v>
      </c>
    </row>
    <row r="820" spans="1:22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36"/>
        <v>1</v>
      </c>
      <c r="R820" t="str">
        <f t="shared" si="37"/>
        <v>Unique ID</v>
      </c>
      <c r="V820" t="str">
        <f t="shared" si="38"/>
        <v>Yes</v>
      </c>
    </row>
    <row r="821" spans="1:22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36"/>
        <v>1</v>
      </c>
      <c r="R821" t="str">
        <f t="shared" si="37"/>
        <v>Unique ID</v>
      </c>
      <c r="V821" t="str">
        <f t="shared" si="38"/>
        <v>No</v>
      </c>
    </row>
    <row r="822" spans="1:22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36"/>
        <v>1</v>
      </c>
      <c r="R822" t="str">
        <f t="shared" si="37"/>
        <v>Unique ID</v>
      </c>
      <c r="V822" t="str">
        <f t="shared" si="38"/>
        <v>No</v>
      </c>
    </row>
    <row r="823" spans="1:22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36"/>
        <v>1</v>
      </c>
      <c r="R823" t="str">
        <f t="shared" si="37"/>
        <v>Unique ID</v>
      </c>
      <c r="V823" t="str">
        <f t="shared" si="38"/>
        <v>No</v>
      </c>
    </row>
    <row r="824" spans="1:22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36"/>
        <v>1</v>
      </c>
      <c r="R824" t="str">
        <f t="shared" si="37"/>
        <v>Unique ID</v>
      </c>
      <c r="V824" t="str">
        <f t="shared" si="38"/>
        <v>No</v>
      </c>
    </row>
    <row r="825" spans="1:22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36"/>
        <v>1</v>
      </c>
      <c r="R825" t="str">
        <f t="shared" si="37"/>
        <v>Unique ID</v>
      </c>
      <c r="V825" t="str">
        <f t="shared" si="38"/>
        <v>No</v>
      </c>
    </row>
    <row r="826" spans="1:22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36"/>
        <v>1</v>
      </c>
      <c r="R826" t="str">
        <f t="shared" si="37"/>
        <v>Unique ID</v>
      </c>
      <c r="V826" t="str">
        <f t="shared" si="38"/>
        <v>Yes</v>
      </c>
    </row>
    <row r="827" spans="1:22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36"/>
        <v>1</v>
      </c>
      <c r="R827" t="str">
        <f t="shared" si="37"/>
        <v>Unique ID</v>
      </c>
      <c r="V827" t="str">
        <f t="shared" si="38"/>
        <v>No</v>
      </c>
    </row>
    <row r="828" spans="1:22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36"/>
        <v>1</v>
      </c>
      <c r="R828" t="str">
        <f t="shared" si="37"/>
        <v>Unique ID</v>
      </c>
      <c r="V828" t="str">
        <f t="shared" si="38"/>
        <v>No</v>
      </c>
    </row>
    <row r="829" spans="1:22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36"/>
        <v>1</v>
      </c>
      <c r="R829" t="str">
        <f t="shared" si="37"/>
        <v>Unique ID</v>
      </c>
      <c r="V829" t="str">
        <f t="shared" si="38"/>
        <v>No</v>
      </c>
    </row>
    <row r="830" spans="1:22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36"/>
        <v>1</v>
      </c>
      <c r="R830" t="str">
        <f t="shared" si="37"/>
        <v>Unique ID</v>
      </c>
      <c r="V830" t="str">
        <f t="shared" si="38"/>
        <v>No</v>
      </c>
    </row>
    <row r="831" spans="1:22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36"/>
        <v>1</v>
      </c>
      <c r="R831" t="str">
        <f t="shared" si="37"/>
        <v>Unique ID</v>
      </c>
      <c r="V831" t="str">
        <f t="shared" si="38"/>
        <v>Yes</v>
      </c>
    </row>
    <row r="832" spans="1:22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36"/>
        <v>1</v>
      </c>
      <c r="R832" t="str">
        <f t="shared" si="37"/>
        <v>Unique ID</v>
      </c>
      <c r="V832" t="str">
        <f t="shared" si="38"/>
        <v>No</v>
      </c>
    </row>
    <row r="833" spans="1:22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36"/>
        <v>1</v>
      </c>
      <c r="R833" t="str">
        <f t="shared" si="37"/>
        <v>Unique ID</v>
      </c>
      <c r="V833" t="str">
        <f t="shared" si="38"/>
        <v>No</v>
      </c>
    </row>
    <row r="834" spans="1:22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si="36"/>
        <v>1</v>
      </c>
      <c r="R834" t="str">
        <f t="shared" si="37"/>
        <v>Unique ID</v>
      </c>
      <c r="V834" t="str">
        <f t="shared" si="38"/>
        <v>Yes</v>
      </c>
    </row>
    <row r="835" spans="1:22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ref="Q835:Q898" si="39">COUNTIF($A:$A,A835)</f>
        <v>1</v>
      </c>
      <c r="R835" t="str">
        <f t="shared" ref="R835:R898" si="40">IF(Q835&gt;1,"Duplicate ID","Unique ID")</f>
        <v>Unique ID</v>
      </c>
      <c r="V835" t="str">
        <f t="shared" ref="V835:V898" si="41">IF(OR(L835&lt;$U$5,L835&gt;$U$6),"Yes","No")</f>
        <v>No</v>
      </c>
    </row>
    <row r="836" spans="1:22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39"/>
        <v>1</v>
      </c>
      <c r="R836" t="str">
        <f t="shared" si="40"/>
        <v>Unique ID</v>
      </c>
      <c r="V836" t="str">
        <f t="shared" si="41"/>
        <v>No</v>
      </c>
    </row>
    <row r="837" spans="1:22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39"/>
        <v>1</v>
      </c>
      <c r="R837" t="str">
        <f t="shared" si="40"/>
        <v>Unique ID</v>
      </c>
      <c r="V837" t="str">
        <f t="shared" si="41"/>
        <v>Yes</v>
      </c>
    </row>
    <row r="838" spans="1:22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39"/>
        <v>1</v>
      </c>
      <c r="R838" t="str">
        <f t="shared" si="40"/>
        <v>Unique ID</v>
      </c>
      <c r="V838" t="str">
        <f t="shared" si="41"/>
        <v>Yes</v>
      </c>
    </row>
    <row r="839" spans="1:22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39"/>
        <v>1</v>
      </c>
      <c r="R839" t="str">
        <f t="shared" si="40"/>
        <v>Unique ID</v>
      </c>
      <c r="V839" t="str">
        <f t="shared" si="41"/>
        <v>No</v>
      </c>
    </row>
    <row r="840" spans="1:22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39"/>
        <v>1</v>
      </c>
      <c r="R840" t="str">
        <f t="shared" si="40"/>
        <v>Unique ID</v>
      </c>
      <c r="V840" t="str">
        <f t="shared" si="41"/>
        <v>No</v>
      </c>
    </row>
    <row r="841" spans="1:22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39"/>
        <v>1</v>
      </c>
      <c r="R841" t="str">
        <f t="shared" si="40"/>
        <v>Unique ID</v>
      </c>
      <c r="V841" t="str">
        <f t="shared" si="41"/>
        <v>No</v>
      </c>
    </row>
    <row r="842" spans="1:22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39"/>
        <v>1</v>
      </c>
      <c r="R842" t="str">
        <f t="shared" si="40"/>
        <v>Unique ID</v>
      </c>
      <c r="V842" t="str">
        <f t="shared" si="41"/>
        <v>No</v>
      </c>
    </row>
    <row r="843" spans="1:22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39"/>
        <v>1</v>
      </c>
      <c r="R843" t="str">
        <f t="shared" si="40"/>
        <v>Unique ID</v>
      </c>
      <c r="V843" t="str">
        <f t="shared" si="41"/>
        <v>No</v>
      </c>
    </row>
    <row r="844" spans="1:22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39"/>
        <v>1</v>
      </c>
      <c r="R844" t="str">
        <f t="shared" si="40"/>
        <v>Unique ID</v>
      </c>
      <c r="V844" t="str">
        <f t="shared" si="41"/>
        <v>No</v>
      </c>
    </row>
    <row r="845" spans="1:22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39"/>
        <v>1</v>
      </c>
      <c r="R845" t="str">
        <f t="shared" si="40"/>
        <v>Unique ID</v>
      </c>
      <c r="V845" t="str">
        <f t="shared" si="41"/>
        <v>No</v>
      </c>
    </row>
    <row r="846" spans="1:22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39"/>
        <v>1</v>
      </c>
      <c r="R846" t="str">
        <f t="shared" si="40"/>
        <v>Unique ID</v>
      </c>
      <c r="V846" t="str">
        <f t="shared" si="41"/>
        <v>No</v>
      </c>
    </row>
    <row r="847" spans="1:22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39"/>
        <v>1</v>
      </c>
      <c r="R847" t="str">
        <f t="shared" si="40"/>
        <v>Unique ID</v>
      </c>
      <c r="V847" t="str">
        <f t="shared" si="41"/>
        <v>No</v>
      </c>
    </row>
    <row r="848" spans="1:22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39"/>
        <v>1</v>
      </c>
      <c r="R848" t="str">
        <f t="shared" si="40"/>
        <v>Unique ID</v>
      </c>
      <c r="V848" t="str">
        <f t="shared" si="41"/>
        <v>No</v>
      </c>
    </row>
    <row r="849" spans="1:22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39"/>
        <v>1</v>
      </c>
      <c r="R849" t="str">
        <f t="shared" si="40"/>
        <v>Unique ID</v>
      </c>
      <c r="V849" t="str">
        <f t="shared" si="41"/>
        <v>No</v>
      </c>
    </row>
    <row r="850" spans="1:22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39"/>
        <v>1</v>
      </c>
      <c r="R850" t="str">
        <f t="shared" si="40"/>
        <v>Unique ID</v>
      </c>
      <c r="V850" t="str">
        <f t="shared" si="41"/>
        <v>No</v>
      </c>
    </row>
    <row r="851" spans="1:22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39"/>
        <v>1</v>
      </c>
      <c r="R851" t="str">
        <f t="shared" si="40"/>
        <v>Unique ID</v>
      </c>
      <c r="V851" t="str">
        <f t="shared" si="41"/>
        <v>No</v>
      </c>
    </row>
    <row r="852" spans="1:22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39"/>
        <v>1</v>
      </c>
      <c r="R852" t="str">
        <f t="shared" si="40"/>
        <v>Unique ID</v>
      </c>
      <c r="V852" t="str">
        <f t="shared" si="41"/>
        <v>No</v>
      </c>
    </row>
    <row r="853" spans="1:22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39"/>
        <v>1</v>
      </c>
      <c r="R853" t="str">
        <f t="shared" si="40"/>
        <v>Unique ID</v>
      </c>
      <c r="V853" t="str">
        <f t="shared" si="41"/>
        <v>No</v>
      </c>
    </row>
    <row r="854" spans="1:22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39"/>
        <v>1</v>
      </c>
      <c r="R854" t="str">
        <f t="shared" si="40"/>
        <v>Unique ID</v>
      </c>
      <c r="V854" t="str">
        <f t="shared" si="41"/>
        <v>No</v>
      </c>
    </row>
    <row r="855" spans="1:22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39"/>
        <v>1</v>
      </c>
      <c r="R855" t="str">
        <f t="shared" si="40"/>
        <v>Unique ID</v>
      </c>
      <c r="V855" t="str">
        <f t="shared" si="41"/>
        <v>No</v>
      </c>
    </row>
    <row r="856" spans="1:22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39"/>
        <v>1</v>
      </c>
      <c r="R856" t="str">
        <f t="shared" si="40"/>
        <v>Unique ID</v>
      </c>
      <c r="V856" t="str">
        <f t="shared" si="41"/>
        <v>Yes</v>
      </c>
    </row>
    <row r="857" spans="1:22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39"/>
        <v>1</v>
      </c>
      <c r="R857" t="str">
        <f t="shared" si="40"/>
        <v>Unique ID</v>
      </c>
      <c r="V857" t="str">
        <f t="shared" si="41"/>
        <v>No</v>
      </c>
    </row>
    <row r="858" spans="1:22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39"/>
        <v>1</v>
      </c>
      <c r="R858" t="str">
        <f t="shared" si="40"/>
        <v>Unique ID</v>
      </c>
      <c r="V858" t="str">
        <f t="shared" si="41"/>
        <v>No</v>
      </c>
    </row>
    <row r="859" spans="1:22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39"/>
        <v>1</v>
      </c>
      <c r="R859" t="str">
        <f t="shared" si="40"/>
        <v>Unique ID</v>
      </c>
      <c r="V859" t="str">
        <f t="shared" si="41"/>
        <v>No</v>
      </c>
    </row>
    <row r="860" spans="1:22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39"/>
        <v>1</v>
      </c>
      <c r="R860" t="str">
        <f t="shared" si="40"/>
        <v>Unique ID</v>
      </c>
      <c r="V860" t="str">
        <f t="shared" si="41"/>
        <v>Yes</v>
      </c>
    </row>
    <row r="861" spans="1:22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39"/>
        <v>1</v>
      </c>
      <c r="R861" t="str">
        <f t="shared" si="40"/>
        <v>Unique ID</v>
      </c>
      <c r="V861" t="str">
        <f t="shared" si="41"/>
        <v>No</v>
      </c>
    </row>
    <row r="862" spans="1:22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39"/>
        <v>1</v>
      </c>
      <c r="R862" t="str">
        <f t="shared" si="40"/>
        <v>Unique ID</v>
      </c>
      <c r="V862" t="str">
        <f t="shared" si="41"/>
        <v>No</v>
      </c>
    </row>
    <row r="863" spans="1:22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39"/>
        <v>1</v>
      </c>
      <c r="R863" t="str">
        <f t="shared" si="40"/>
        <v>Unique ID</v>
      </c>
      <c r="V863" t="str">
        <f t="shared" si="41"/>
        <v>No</v>
      </c>
    </row>
    <row r="864" spans="1:22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39"/>
        <v>1</v>
      </c>
      <c r="R864" t="str">
        <f t="shared" si="40"/>
        <v>Unique ID</v>
      </c>
      <c r="V864" t="str">
        <f t="shared" si="41"/>
        <v>No</v>
      </c>
    </row>
    <row r="865" spans="1:22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39"/>
        <v>1</v>
      </c>
      <c r="R865" t="str">
        <f t="shared" si="40"/>
        <v>Unique ID</v>
      </c>
      <c r="V865" t="str">
        <f t="shared" si="41"/>
        <v>No</v>
      </c>
    </row>
    <row r="866" spans="1:22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39"/>
        <v>1</v>
      </c>
      <c r="R866" t="str">
        <f t="shared" si="40"/>
        <v>Unique ID</v>
      </c>
      <c r="V866" t="str">
        <f t="shared" si="41"/>
        <v>No</v>
      </c>
    </row>
    <row r="867" spans="1:22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39"/>
        <v>1</v>
      </c>
      <c r="R867" t="str">
        <f t="shared" si="40"/>
        <v>Unique ID</v>
      </c>
      <c r="V867" t="str">
        <f t="shared" si="41"/>
        <v>No</v>
      </c>
    </row>
    <row r="868" spans="1:22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39"/>
        <v>1</v>
      </c>
      <c r="R868" t="str">
        <f t="shared" si="40"/>
        <v>Unique ID</v>
      </c>
      <c r="V868" t="str">
        <f t="shared" si="41"/>
        <v>No</v>
      </c>
    </row>
    <row r="869" spans="1:22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39"/>
        <v>1</v>
      </c>
      <c r="R869" t="str">
        <f t="shared" si="40"/>
        <v>Unique ID</v>
      </c>
      <c r="V869" t="str">
        <f t="shared" si="41"/>
        <v>No</v>
      </c>
    </row>
    <row r="870" spans="1:22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39"/>
        <v>1</v>
      </c>
      <c r="R870" t="str">
        <f t="shared" si="40"/>
        <v>Unique ID</v>
      </c>
      <c r="V870" t="str">
        <f t="shared" si="41"/>
        <v>No</v>
      </c>
    </row>
    <row r="871" spans="1:22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39"/>
        <v>1</v>
      </c>
      <c r="R871" t="str">
        <f t="shared" si="40"/>
        <v>Unique ID</v>
      </c>
      <c r="V871" t="str">
        <f t="shared" si="41"/>
        <v>No</v>
      </c>
    </row>
    <row r="872" spans="1:22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39"/>
        <v>1</v>
      </c>
      <c r="R872" t="str">
        <f t="shared" si="40"/>
        <v>Unique ID</v>
      </c>
      <c r="V872" t="str">
        <f t="shared" si="41"/>
        <v>No</v>
      </c>
    </row>
    <row r="873" spans="1:22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39"/>
        <v>1</v>
      </c>
      <c r="R873" t="str">
        <f t="shared" si="40"/>
        <v>Unique ID</v>
      </c>
      <c r="V873" t="str">
        <f t="shared" si="41"/>
        <v>No</v>
      </c>
    </row>
    <row r="874" spans="1:22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39"/>
        <v>1</v>
      </c>
      <c r="R874" t="str">
        <f t="shared" si="40"/>
        <v>Unique ID</v>
      </c>
      <c r="V874" t="str">
        <f t="shared" si="41"/>
        <v>No</v>
      </c>
    </row>
    <row r="875" spans="1:22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39"/>
        <v>1</v>
      </c>
      <c r="R875" t="str">
        <f t="shared" si="40"/>
        <v>Unique ID</v>
      </c>
      <c r="V875" t="str">
        <f t="shared" si="41"/>
        <v>No</v>
      </c>
    </row>
    <row r="876" spans="1:22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39"/>
        <v>1</v>
      </c>
      <c r="R876" t="str">
        <f t="shared" si="40"/>
        <v>Unique ID</v>
      </c>
      <c r="V876" t="str">
        <f t="shared" si="41"/>
        <v>No</v>
      </c>
    </row>
    <row r="877" spans="1:22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39"/>
        <v>1</v>
      </c>
      <c r="R877" t="str">
        <f t="shared" si="40"/>
        <v>Unique ID</v>
      </c>
      <c r="V877" t="str">
        <f t="shared" si="41"/>
        <v>No</v>
      </c>
    </row>
    <row r="878" spans="1:22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39"/>
        <v>1</v>
      </c>
      <c r="R878" t="str">
        <f t="shared" si="40"/>
        <v>Unique ID</v>
      </c>
      <c r="V878" t="str">
        <f t="shared" si="41"/>
        <v>No</v>
      </c>
    </row>
    <row r="879" spans="1:22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39"/>
        <v>1</v>
      </c>
      <c r="R879" t="str">
        <f t="shared" si="40"/>
        <v>Unique ID</v>
      </c>
      <c r="V879" t="str">
        <f t="shared" si="41"/>
        <v>No</v>
      </c>
    </row>
    <row r="880" spans="1:22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39"/>
        <v>1</v>
      </c>
      <c r="R880" t="str">
        <f t="shared" si="40"/>
        <v>Unique ID</v>
      </c>
      <c r="V880" t="str">
        <f t="shared" si="41"/>
        <v>No</v>
      </c>
    </row>
    <row r="881" spans="1:22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39"/>
        <v>1</v>
      </c>
      <c r="R881" t="str">
        <f t="shared" si="40"/>
        <v>Unique ID</v>
      </c>
      <c r="V881" t="str">
        <f t="shared" si="41"/>
        <v>No</v>
      </c>
    </row>
    <row r="882" spans="1:22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39"/>
        <v>1</v>
      </c>
      <c r="R882" t="str">
        <f t="shared" si="40"/>
        <v>Unique ID</v>
      </c>
      <c r="V882" t="str">
        <f t="shared" si="41"/>
        <v>No</v>
      </c>
    </row>
    <row r="883" spans="1:22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39"/>
        <v>1</v>
      </c>
      <c r="R883" t="str">
        <f t="shared" si="40"/>
        <v>Unique ID</v>
      </c>
      <c r="V883" t="str">
        <f t="shared" si="41"/>
        <v>No</v>
      </c>
    </row>
    <row r="884" spans="1:22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39"/>
        <v>1</v>
      </c>
      <c r="R884" t="str">
        <f t="shared" si="40"/>
        <v>Unique ID</v>
      </c>
      <c r="V884" t="str">
        <f t="shared" si="41"/>
        <v>No</v>
      </c>
    </row>
    <row r="885" spans="1:22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39"/>
        <v>1</v>
      </c>
      <c r="R885" t="str">
        <f t="shared" si="40"/>
        <v>Unique ID</v>
      </c>
      <c r="V885" t="str">
        <f t="shared" si="41"/>
        <v>No</v>
      </c>
    </row>
    <row r="886" spans="1:22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39"/>
        <v>1</v>
      </c>
      <c r="R886" t="str">
        <f t="shared" si="40"/>
        <v>Unique ID</v>
      </c>
      <c r="V886" t="str">
        <f t="shared" si="41"/>
        <v>No</v>
      </c>
    </row>
    <row r="887" spans="1:22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39"/>
        <v>1</v>
      </c>
      <c r="R887" t="str">
        <f t="shared" si="40"/>
        <v>Unique ID</v>
      </c>
      <c r="V887" t="str">
        <f t="shared" si="41"/>
        <v>No</v>
      </c>
    </row>
    <row r="888" spans="1:22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39"/>
        <v>1</v>
      </c>
      <c r="R888" t="str">
        <f t="shared" si="40"/>
        <v>Unique ID</v>
      </c>
      <c r="V888" t="str">
        <f t="shared" si="41"/>
        <v>No</v>
      </c>
    </row>
    <row r="889" spans="1:22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39"/>
        <v>1</v>
      </c>
      <c r="R889" t="str">
        <f t="shared" si="40"/>
        <v>Unique ID</v>
      </c>
      <c r="V889" t="str">
        <f t="shared" si="41"/>
        <v>No</v>
      </c>
    </row>
    <row r="890" spans="1:22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39"/>
        <v>1</v>
      </c>
      <c r="R890" t="str">
        <f t="shared" si="40"/>
        <v>Unique ID</v>
      </c>
      <c r="V890" t="str">
        <f t="shared" si="41"/>
        <v>Yes</v>
      </c>
    </row>
    <row r="891" spans="1:22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39"/>
        <v>1</v>
      </c>
      <c r="R891" t="str">
        <f t="shared" si="40"/>
        <v>Unique ID</v>
      </c>
      <c r="V891" t="str">
        <f t="shared" si="41"/>
        <v>No</v>
      </c>
    </row>
    <row r="892" spans="1:22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39"/>
        <v>1</v>
      </c>
      <c r="R892" t="str">
        <f t="shared" si="40"/>
        <v>Unique ID</v>
      </c>
      <c r="V892" t="str">
        <f t="shared" si="41"/>
        <v>No</v>
      </c>
    </row>
    <row r="893" spans="1:22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39"/>
        <v>1</v>
      </c>
      <c r="R893" t="str">
        <f t="shared" si="40"/>
        <v>Unique ID</v>
      </c>
      <c r="V893" t="str">
        <f t="shared" si="41"/>
        <v>No</v>
      </c>
    </row>
    <row r="894" spans="1:22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39"/>
        <v>1</v>
      </c>
      <c r="R894" t="str">
        <f t="shared" si="40"/>
        <v>Unique ID</v>
      </c>
      <c r="V894" t="str">
        <f t="shared" si="41"/>
        <v>No</v>
      </c>
    </row>
    <row r="895" spans="1:22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39"/>
        <v>1</v>
      </c>
      <c r="R895" t="str">
        <f t="shared" si="40"/>
        <v>Unique ID</v>
      </c>
      <c r="V895" t="str">
        <f t="shared" si="41"/>
        <v>No</v>
      </c>
    </row>
    <row r="896" spans="1:22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39"/>
        <v>1</v>
      </c>
      <c r="R896" t="str">
        <f t="shared" si="40"/>
        <v>Unique ID</v>
      </c>
      <c r="V896" t="str">
        <f t="shared" si="41"/>
        <v>No</v>
      </c>
    </row>
    <row r="897" spans="1:22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39"/>
        <v>1</v>
      </c>
      <c r="R897" t="str">
        <f t="shared" si="40"/>
        <v>Unique ID</v>
      </c>
      <c r="V897" t="str">
        <f t="shared" si="41"/>
        <v>No</v>
      </c>
    </row>
    <row r="898" spans="1:22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si="39"/>
        <v>1</v>
      </c>
      <c r="R898" t="str">
        <f t="shared" si="40"/>
        <v>Unique ID</v>
      </c>
      <c r="V898" t="str">
        <f t="shared" si="41"/>
        <v>No</v>
      </c>
    </row>
    <row r="899" spans="1:22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ref="Q899:Q962" si="42">COUNTIF($A:$A,A899)</f>
        <v>1</v>
      </c>
      <c r="R899" t="str">
        <f t="shared" ref="R899:R962" si="43">IF(Q899&gt;1,"Duplicate ID","Unique ID")</f>
        <v>Unique ID</v>
      </c>
      <c r="V899" t="str">
        <f t="shared" ref="V899:V962" si="44">IF(OR(L899&lt;$U$5,L899&gt;$U$6),"Yes","No")</f>
        <v>No</v>
      </c>
    </row>
    <row r="900" spans="1:22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42"/>
        <v>1</v>
      </c>
      <c r="R900" t="str">
        <f t="shared" si="43"/>
        <v>Unique ID</v>
      </c>
      <c r="V900" t="str">
        <f t="shared" si="44"/>
        <v>No</v>
      </c>
    </row>
    <row r="901" spans="1:22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42"/>
        <v>1</v>
      </c>
      <c r="R901" t="str">
        <f t="shared" si="43"/>
        <v>Unique ID</v>
      </c>
      <c r="V901" t="str">
        <f t="shared" si="44"/>
        <v>No</v>
      </c>
    </row>
    <row r="902" spans="1:22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42"/>
        <v>1</v>
      </c>
      <c r="R902" t="str">
        <f t="shared" si="43"/>
        <v>Unique ID</v>
      </c>
      <c r="V902" t="str">
        <f t="shared" si="44"/>
        <v>No</v>
      </c>
    </row>
    <row r="903" spans="1:22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42"/>
        <v>1</v>
      </c>
      <c r="R903" t="str">
        <f t="shared" si="43"/>
        <v>Unique ID</v>
      </c>
      <c r="V903" t="str">
        <f t="shared" si="44"/>
        <v>No</v>
      </c>
    </row>
    <row r="904" spans="1:22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42"/>
        <v>1</v>
      </c>
      <c r="R904" t="str">
        <f t="shared" si="43"/>
        <v>Unique ID</v>
      </c>
      <c r="V904" t="str">
        <f t="shared" si="44"/>
        <v>No</v>
      </c>
    </row>
    <row r="905" spans="1:22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42"/>
        <v>1</v>
      </c>
      <c r="R905" t="str">
        <f t="shared" si="43"/>
        <v>Unique ID</v>
      </c>
      <c r="V905" t="str">
        <f t="shared" si="44"/>
        <v>No</v>
      </c>
    </row>
    <row r="906" spans="1:22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42"/>
        <v>1</v>
      </c>
      <c r="R906" t="str">
        <f t="shared" si="43"/>
        <v>Unique ID</v>
      </c>
      <c r="V906" t="str">
        <f t="shared" si="44"/>
        <v>Yes</v>
      </c>
    </row>
    <row r="907" spans="1:22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42"/>
        <v>1</v>
      </c>
      <c r="R907" t="str">
        <f t="shared" si="43"/>
        <v>Unique ID</v>
      </c>
      <c r="V907" t="str">
        <f t="shared" si="44"/>
        <v>No</v>
      </c>
    </row>
    <row r="908" spans="1:22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42"/>
        <v>1</v>
      </c>
      <c r="R908" t="str">
        <f t="shared" si="43"/>
        <v>Unique ID</v>
      </c>
      <c r="V908" t="str">
        <f t="shared" si="44"/>
        <v>No</v>
      </c>
    </row>
    <row r="909" spans="1:22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42"/>
        <v>1</v>
      </c>
      <c r="R909" t="str">
        <f t="shared" si="43"/>
        <v>Unique ID</v>
      </c>
      <c r="V909" t="str">
        <f t="shared" si="44"/>
        <v>No</v>
      </c>
    </row>
    <row r="910" spans="1:22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42"/>
        <v>1</v>
      </c>
      <c r="R910" t="str">
        <f t="shared" si="43"/>
        <v>Unique ID</v>
      </c>
      <c r="V910" t="str">
        <f t="shared" si="44"/>
        <v>No</v>
      </c>
    </row>
    <row r="911" spans="1:22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42"/>
        <v>1</v>
      </c>
      <c r="R911" t="str">
        <f t="shared" si="43"/>
        <v>Unique ID</v>
      </c>
      <c r="V911" t="str">
        <f t="shared" si="44"/>
        <v>No</v>
      </c>
    </row>
    <row r="912" spans="1:22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42"/>
        <v>1</v>
      </c>
      <c r="R912" t="str">
        <f t="shared" si="43"/>
        <v>Unique ID</v>
      </c>
      <c r="V912" t="str">
        <f t="shared" si="44"/>
        <v>No</v>
      </c>
    </row>
    <row r="913" spans="1:22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42"/>
        <v>1</v>
      </c>
      <c r="R913" t="str">
        <f t="shared" si="43"/>
        <v>Unique ID</v>
      </c>
      <c r="V913" t="str">
        <f t="shared" si="44"/>
        <v>No</v>
      </c>
    </row>
    <row r="914" spans="1:22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42"/>
        <v>1</v>
      </c>
      <c r="R914" t="str">
        <f t="shared" si="43"/>
        <v>Unique ID</v>
      </c>
      <c r="V914" t="str">
        <f t="shared" si="44"/>
        <v>No</v>
      </c>
    </row>
    <row r="915" spans="1:22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42"/>
        <v>1</v>
      </c>
      <c r="R915" t="str">
        <f t="shared" si="43"/>
        <v>Unique ID</v>
      </c>
      <c r="V915" t="str">
        <f t="shared" si="44"/>
        <v>No</v>
      </c>
    </row>
    <row r="916" spans="1:22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42"/>
        <v>1</v>
      </c>
      <c r="R916" t="str">
        <f t="shared" si="43"/>
        <v>Unique ID</v>
      </c>
      <c r="V916" t="str">
        <f t="shared" si="44"/>
        <v>No</v>
      </c>
    </row>
    <row r="917" spans="1:22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42"/>
        <v>1</v>
      </c>
      <c r="R917" t="str">
        <f t="shared" si="43"/>
        <v>Unique ID</v>
      </c>
      <c r="V917" t="str">
        <f t="shared" si="44"/>
        <v>No</v>
      </c>
    </row>
    <row r="918" spans="1:22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42"/>
        <v>2</v>
      </c>
      <c r="R918" t="str">
        <f t="shared" si="43"/>
        <v>Duplicate ID</v>
      </c>
      <c r="V918" t="str">
        <f t="shared" si="44"/>
        <v>No</v>
      </c>
    </row>
    <row r="919" spans="1:22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42"/>
        <v>1</v>
      </c>
      <c r="R919" t="str">
        <f t="shared" si="43"/>
        <v>Unique ID</v>
      </c>
      <c r="V919" t="str">
        <f t="shared" si="44"/>
        <v>No</v>
      </c>
    </row>
    <row r="920" spans="1:22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42"/>
        <v>1</v>
      </c>
      <c r="R920" t="str">
        <f t="shared" si="43"/>
        <v>Unique ID</v>
      </c>
      <c r="V920" t="str">
        <f t="shared" si="44"/>
        <v>No</v>
      </c>
    </row>
    <row r="921" spans="1:22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42"/>
        <v>1</v>
      </c>
      <c r="R921" t="str">
        <f t="shared" si="43"/>
        <v>Unique ID</v>
      </c>
      <c r="V921" t="str">
        <f t="shared" si="44"/>
        <v>No</v>
      </c>
    </row>
    <row r="922" spans="1:22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42"/>
        <v>1</v>
      </c>
      <c r="R922" t="str">
        <f t="shared" si="43"/>
        <v>Unique ID</v>
      </c>
      <c r="V922" t="str">
        <f t="shared" si="44"/>
        <v>Yes</v>
      </c>
    </row>
    <row r="923" spans="1:22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42"/>
        <v>1</v>
      </c>
      <c r="R923" t="str">
        <f t="shared" si="43"/>
        <v>Unique ID</v>
      </c>
      <c r="V923" t="str">
        <f t="shared" si="44"/>
        <v>No</v>
      </c>
    </row>
    <row r="924" spans="1:22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42"/>
        <v>1</v>
      </c>
      <c r="R924" t="str">
        <f t="shared" si="43"/>
        <v>Unique ID</v>
      </c>
      <c r="V924" t="str">
        <f t="shared" si="44"/>
        <v>No</v>
      </c>
    </row>
    <row r="925" spans="1:22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42"/>
        <v>1</v>
      </c>
      <c r="R925" t="str">
        <f t="shared" si="43"/>
        <v>Unique ID</v>
      </c>
      <c r="V925" t="str">
        <f t="shared" si="44"/>
        <v>No</v>
      </c>
    </row>
    <row r="926" spans="1:22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42"/>
        <v>1</v>
      </c>
      <c r="R926" t="str">
        <f t="shared" si="43"/>
        <v>Unique ID</v>
      </c>
      <c r="V926" t="str">
        <f t="shared" si="44"/>
        <v>No</v>
      </c>
    </row>
    <row r="927" spans="1:22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42"/>
        <v>1</v>
      </c>
      <c r="R927" t="str">
        <f t="shared" si="43"/>
        <v>Unique ID</v>
      </c>
      <c r="V927" t="str">
        <f t="shared" si="44"/>
        <v>No</v>
      </c>
    </row>
    <row r="928" spans="1:22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42"/>
        <v>1</v>
      </c>
      <c r="R928" t="str">
        <f t="shared" si="43"/>
        <v>Unique ID</v>
      </c>
      <c r="V928" t="str">
        <f t="shared" si="44"/>
        <v>No</v>
      </c>
    </row>
    <row r="929" spans="1:22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42"/>
        <v>1</v>
      </c>
      <c r="R929" t="str">
        <f t="shared" si="43"/>
        <v>Unique ID</v>
      </c>
      <c r="V929" t="str">
        <f t="shared" si="44"/>
        <v>No</v>
      </c>
    </row>
    <row r="930" spans="1:22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42"/>
        <v>1</v>
      </c>
      <c r="R930" t="str">
        <f t="shared" si="43"/>
        <v>Unique ID</v>
      </c>
      <c r="V930" t="str">
        <f t="shared" si="44"/>
        <v>No</v>
      </c>
    </row>
    <row r="931" spans="1:22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42"/>
        <v>1</v>
      </c>
      <c r="R931" t="str">
        <f t="shared" si="43"/>
        <v>Unique ID</v>
      </c>
      <c r="V931" t="str">
        <f t="shared" si="44"/>
        <v>No</v>
      </c>
    </row>
    <row r="932" spans="1:22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42"/>
        <v>1</v>
      </c>
      <c r="R932" t="str">
        <f t="shared" si="43"/>
        <v>Unique ID</v>
      </c>
      <c r="V932" t="str">
        <f t="shared" si="44"/>
        <v>Yes</v>
      </c>
    </row>
    <row r="933" spans="1:22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42"/>
        <v>1</v>
      </c>
      <c r="R933" t="str">
        <f t="shared" si="43"/>
        <v>Unique ID</v>
      </c>
      <c r="V933" t="str">
        <f t="shared" si="44"/>
        <v>No</v>
      </c>
    </row>
    <row r="934" spans="1:22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42"/>
        <v>1</v>
      </c>
      <c r="R934" t="str">
        <f t="shared" si="43"/>
        <v>Unique ID</v>
      </c>
      <c r="V934" t="str">
        <f t="shared" si="44"/>
        <v>No</v>
      </c>
    </row>
    <row r="935" spans="1:22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42"/>
        <v>1</v>
      </c>
      <c r="R935" t="str">
        <f t="shared" si="43"/>
        <v>Unique ID</v>
      </c>
      <c r="V935" t="str">
        <f t="shared" si="44"/>
        <v>No</v>
      </c>
    </row>
    <row r="936" spans="1:22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42"/>
        <v>1</v>
      </c>
      <c r="R936" t="str">
        <f t="shared" si="43"/>
        <v>Unique ID</v>
      </c>
      <c r="V936" t="str">
        <f t="shared" si="44"/>
        <v>No</v>
      </c>
    </row>
    <row r="937" spans="1:22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42"/>
        <v>1</v>
      </c>
      <c r="R937" t="str">
        <f t="shared" si="43"/>
        <v>Unique ID</v>
      </c>
      <c r="V937" t="str">
        <f t="shared" si="44"/>
        <v>No</v>
      </c>
    </row>
    <row r="938" spans="1:22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42"/>
        <v>1</v>
      </c>
      <c r="R938" t="str">
        <f t="shared" si="43"/>
        <v>Unique ID</v>
      </c>
      <c r="V938" t="str">
        <f t="shared" si="44"/>
        <v>No</v>
      </c>
    </row>
    <row r="939" spans="1:22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42"/>
        <v>1</v>
      </c>
      <c r="R939" t="str">
        <f t="shared" si="43"/>
        <v>Unique ID</v>
      </c>
      <c r="V939" t="str">
        <f t="shared" si="44"/>
        <v>No</v>
      </c>
    </row>
    <row r="940" spans="1:22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42"/>
        <v>1</v>
      </c>
      <c r="R940" t="str">
        <f t="shared" si="43"/>
        <v>Unique ID</v>
      </c>
      <c r="V940" t="str">
        <f t="shared" si="44"/>
        <v>No</v>
      </c>
    </row>
    <row r="941" spans="1:22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42"/>
        <v>1</v>
      </c>
      <c r="R941" t="str">
        <f t="shared" si="43"/>
        <v>Unique ID</v>
      </c>
      <c r="V941" t="str">
        <f t="shared" si="44"/>
        <v>No</v>
      </c>
    </row>
    <row r="942" spans="1:22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42"/>
        <v>1</v>
      </c>
      <c r="R942" t="str">
        <f t="shared" si="43"/>
        <v>Unique ID</v>
      </c>
      <c r="V942" t="str">
        <f t="shared" si="44"/>
        <v>No</v>
      </c>
    </row>
    <row r="943" spans="1:22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42"/>
        <v>1</v>
      </c>
      <c r="R943" t="str">
        <f t="shared" si="43"/>
        <v>Unique ID</v>
      </c>
      <c r="V943" t="str">
        <f t="shared" si="44"/>
        <v>No</v>
      </c>
    </row>
    <row r="944" spans="1:22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42"/>
        <v>1</v>
      </c>
      <c r="R944" t="str">
        <f t="shared" si="43"/>
        <v>Unique ID</v>
      </c>
      <c r="V944" t="str">
        <f t="shared" si="44"/>
        <v>Yes</v>
      </c>
    </row>
    <row r="945" spans="1:22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42"/>
        <v>1</v>
      </c>
      <c r="R945" t="str">
        <f t="shared" si="43"/>
        <v>Unique ID</v>
      </c>
      <c r="V945" t="str">
        <f t="shared" si="44"/>
        <v>No</v>
      </c>
    </row>
    <row r="946" spans="1:22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42"/>
        <v>1</v>
      </c>
      <c r="R946" t="str">
        <f t="shared" si="43"/>
        <v>Unique ID</v>
      </c>
      <c r="V946" t="str">
        <f t="shared" si="44"/>
        <v>No</v>
      </c>
    </row>
    <row r="947" spans="1:22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42"/>
        <v>1</v>
      </c>
      <c r="R947" t="str">
        <f t="shared" si="43"/>
        <v>Unique ID</v>
      </c>
      <c r="V947" t="str">
        <f t="shared" si="44"/>
        <v>No</v>
      </c>
    </row>
    <row r="948" spans="1:22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42"/>
        <v>1</v>
      </c>
      <c r="R948" t="str">
        <f t="shared" si="43"/>
        <v>Unique ID</v>
      </c>
      <c r="V948" t="str">
        <f t="shared" si="44"/>
        <v>No</v>
      </c>
    </row>
    <row r="949" spans="1:22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42"/>
        <v>1</v>
      </c>
      <c r="R949" t="str">
        <f t="shared" si="43"/>
        <v>Unique ID</v>
      </c>
      <c r="V949" t="str">
        <f t="shared" si="44"/>
        <v>Yes</v>
      </c>
    </row>
    <row r="950" spans="1:22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42"/>
        <v>1</v>
      </c>
      <c r="R950" t="str">
        <f t="shared" si="43"/>
        <v>Unique ID</v>
      </c>
      <c r="V950" t="str">
        <f t="shared" si="44"/>
        <v>No</v>
      </c>
    </row>
    <row r="951" spans="1:22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42"/>
        <v>1</v>
      </c>
      <c r="R951" t="str">
        <f t="shared" si="43"/>
        <v>Unique ID</v>
      </c>
      <c r="V951" t="str">
        <f t="shared" si="44"/>
        <v>No</v>
      </c>
    </row>
    <row r="952" spans="1:22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42"/>
        <v>1</v>
      </c>
      <c r="R952" t="str">
        <f t="shared" si="43"/>
        <v>Unique ID</v>
      </c>
      <c r="V952" t="str">
        <f t="shared" si="44"/>
        <v>No</v>
      </c>
    </row>
    <row r="953" spans="1:22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42"/>
        <v>1</v>
      </c>
      <c r="R953" t="str">
        <f t="shared" si="43"/>
        <v>Unique ID</v>
      </c>
      <c r="V953" t="str">
        <f t="shared" si="44"/>
        <v>No</v>
      </c>
    </row>
    <row r="954" spans="1:22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42"/>
        <v>1</v>
      </c>
      <c r="R954" t="str">
        <f t="shared" si="43"/>
        <v>Unique ID</v>
      </c>
      <c r="V954" t="str">
        <f t="shared" si="44"/>
        <v>No</v>
      </c>
    </row>
    <row r="955" spans="1:22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42"/>
        <v>1</v>
      </c>
      <c r="R955" t="str">
        <f t="shared" si="43"/>
        <v>Unique ID</v>
      </c>
      <c r="V955" t="str">
        <f t="shared" si="44"/>
        <v>No</v>
      </c>
    </row>
    <row r="956" spans="1:22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42"/>
        <v>1</v>
      </c>
      <c r="R956" t="str">
        <f t="shared" si="43"/>
        <v>Unique ID</v>
      </c>
      <c r="V956" t="str">
        <f t="shared" si="44"/>
        <v>No</v>
      </c>
    </row>
    <row r="957" spans="1:22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42"/>
        <v>1</v>
      </c>
      <c r="R957" t="str">
        <f t="shared" si="43"/>
        <v>Unique ID</v>
      </c>
      <c r="V957" t="str">
        <f t="shared" si="44"/>
        <v>No</v>
      </c>
    </row>
    <row r="958" spans="1:22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42"/>
        <v>1</v>
      </c>
      <c r="R958" t="str">
        <f t="shared" si="43"/>
        <v>Unique ID</v>
      </c>
      <c r="V958" t="str">
        <f t="shared" si="44"/>
        <v>No</v>
      </c>
    </row>
    <row r="959" spans="1:22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42"/>
        <v>1</v>
      </c>
      <c r="R959" t="str">
        <f t="shared" si="43"/>
        <v>Unique ID</v>
      </c>
      <c r="V959" t="str">
        <f t="shared" si="44"/>
        <v>No</v>
      </c>
    </row>
    <row r="960" spans="1:22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42"/>
        <v>1</v>
      </c>
      <c r="R960" t="str">
        <f t="shared" si="43"/>
        <v>Unique ID</v>
      </c>
      <c r="V960" t="str">
        <f t="shared" si="44"/>
        <v>No</v>
      </c>
    </row>
    <row r="961" spans="1:22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42"/>
        <v>1</v>
      </c>
      <c r="R961" t="str">
        <f t="shared" si="43"/>
        <v>Unique ID</v>
      </c>
      <c r="V961" t="str">
        <f t="shared" si="44"/>
        <v>No</v>
      </c>
    </row>
    <row r="962" spans="1:22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si="42"/>
        <v>1</v>
      </c>
      <c r="R962" t="str">
        <f t="shared" si="43"/>
        <v>Unique ID</v>
      </c>
      <c r="V962" t="str">
        <f t="shared" si="44"/>
        <v>No</v>
      </c>
    </row>
    <row r="963" spans="1:22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ref="Q963:Q1026" si="45">COUNTIF($A:$A,A963)</f>
        <v>1</v>
      </c>
      <c r="R963" t="str">
        <f t="shared" ref="R963:R1026" si="46">IF(Q963&gt;1,"Duplicate ID","Unique ID")</f>
        <v>Unique ID</v>
      </c>
      <c r="V963" t="str">
        <f t="shared" ref="V963:V1026" si="47">IF(OR(L963&lt;$U$5,L963&gt;$U$6),"Yes","No")</f>
        <v>No</v>
      </c>
    </row>
    <row r="964" spans="1:22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45"/>
        <v>1</v>
      </c>
      <c r="R964" t="str">
        <f t="shared" si="46"/>
        <v>Unique ID</v>
      </c>
      <c r="V964" t="str">
        <f t="shared" si="47"/>
        <v>No</v>
      </c>
    </row>
    <row r="965" spans="1:22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45"/>
        <v>1</v>
      </c>
      <c r="R965" t="str">
        <f t="shared" si="46"/>
        <v>Unique ID</v>
      </c>
      <c r="V965" t="str">
        <f t="shared" si="47"/>
        <v>No</v>
      </c>
    </row>
    <row r="966" spans="1:22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45"/>
        <v>1</v>
      </c>
      <c r="R966" t="str">
        <f t="shared" si="46"/>
        <v>Unique ID</v>
      </c>
      <c r="V966" t="str">
        <f t="shared" si="47"/>
        <v>No</v>
      </c>
    </row>
    <row r="967" spans="1:22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45"/>
        <v>1</v>
      </c>
      <c r="R967" t="str">
        <f t="shared" si="46"/>
        <v>Unique ID</v>
      </c>
      <c r="V967" t="str">
        <f t="shared" si="47"/>
        <v>No</v>
      </c>
    </row>
    <row r="968" spans="1:22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45"/>
        <v>1</v>
      </c>
      <c r="R968" t="str">
        <f t="shared" si="46"/>
        <v>Unique ID</v>
      </c>
      <c r="V968" t="str">
        <f t="shared" si="47"/>
        <v>No</v>
      </c>
    </row>
    <row r="969" spans="1:22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45"/>
        <v>1</v>
      </c>
      <c r="R969" t="str">
        <f t="shared" si="46"/>
        <v>Unique ID</v>
      </c>
      <c r="V969" t="str">
        <f t="shared" si="47"/>
        <v>No</v>
      </c>
    </row>
    <row r="970" spans="1:22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45"/>
        <v>1</v>
      </c>
      <c r="R970" t="str">
        <f t="shared" si="46"/>
        <v>Unique ID</v>
      </c>
      <c r="V970" t="str">
        <f t="shared" si="47"/>
        <v>No</v>
      </c>
    </row>
    <row r="971" spans="1:22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45"/>
        <v>1</v>
      </c>
      <c r="R971" t="str">
        <f t="shared" si="46"/>
        <v>Unique ID</v>
      </c>
      <c r="V971" t="str">
        <f t="shared" si="47"/>
        <v>No</v>
      </c>
    </row>
    <row r="972" spans="1:22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45"/>
        <v>1</v>
      </c>
      <c r="R972" t="str">
        <f t="shared" si="46"/>
        <v>Unique ID</v>
      </c>
      <c r="V972" t="str">
        <f t="shared" si="47"/>
        <v>No</v>
      </c>
    </row>
    <row r="973" spans="1:22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45"/>
        <v>1</v>
      </c>
      <c r="R973" t="str">
        <f t="shared" si="46"/>
        <v>Unique ID</v>
      </c>
      <c r="V973" t="str">
        <f t="shared" si="47"/>
        <v>No</v>
      </c>
    </row>
    <row r="974" spans="1:22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45"/>
        <v>1</v>
      </c>
      <c r="R974" t="str">
        <f t="shared" si="46"/>
        <v>Unique ID</v>
      </c>
      <c r="V974" t="str">
        <f t="shared" si="47"/>
        <v>No</v>
      </c>
    </row>
    <row r="975" spans="1:22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45"/>
        <v>1</v>
      </c>
      <c r="R975" t="str">
        <f t="shared" si="46"/>
        <v>Unique ID</v>
      </c>
      <c r="V975" t="str">
        <f t="shared" si="47"/>
        <v>No</v>
      </c>
    </row>
    <row r="976" spans="1:22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45"/>
        <v>1</v>
      </c>
      <c r="R976" t="str">
        <f t="shared" si="46"/>
        <v>Unique ID</v>
      </c>
      <c r="V976" t="str">
        <f t="shared" si="47"/>
        <v>No</v>
      </c>
    </row>
    <row r="977" spans="1:22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45"/>
        <v>1</v>
      </c>
      <c r="R977" t="str">
        <f t="shared" si="46"/>
        <v>Unique ID</v>
      </c>
      <c r="V977" t="str">
        <f t="shared" si="47"/>
        <v>No</v>
      </c>
    </row>
    <row r="978" spans="1:22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45"/>
        <v>1</v>
      </c>
      <c r="R978" t="str">
        <f t="shared" si="46"/>
        <v>Unique ID</v>
      </c>
      <c r="V978" t="str">
        <f t="shared" si="47"/>
        <v>No</v>
      </c>
    </row>
    <row r="979" spans="1:22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45"/>
        <v>1</v>
      </c>
      <c r="R979" t="str">
        <f t="shared" si="46"/>
        <v>Unique ID</v>
      </c>
      <c r="V979" t="str">
        <f t="shared" si="47"/>
        <v>No</v>
      </c>
    </row>
    <row r="980" spans="1:22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45"/>
        <v>1</v>
      </c>
      <c r="R980" t="str">
        <f t="shared" si="46"/>
        <v>Unique ID</v>
      </c>
      <c r="V980" t="str">
        <f t="shared" si="47"/>
        <v>No</v>
      </c>
    </row>
    <row r="981" spans="1:22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45"/>
        <v>1</v>
      </c>
      <c r="R981" t="str">
        <f t="shared" si="46"/>
        <v>Unique ID</v>
      </c>
      <c r="V981" t="str">
        <f t="shared" si="47"/>
        <v>No</v>
      </c>
    </row>
    <row r="982" spans="1:22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45"/>
        <v>1</v>
      </c>
      <c r="R982" t="str">
        <f t="shared" si="46"/>
        <v>Unique ID</v>
      </c>
      <c r="V982" t="str">
        <f t="shared" si="47"/>
        <v>No</v>
      </c>
    </row>
    <row r="983" spans="1:22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45"/>
        <v>1</v>
      </c>
      <c r="R983" t="str">
        <f t="shared" si="46"/>
        <v>Unique ID</v>
      </c>
      <c r="V983" t="str">
        <f t="shared" si="47"/>
        <v>No</v>
      </c>
    </row>
    <row r="984" spans="1:22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45"/>
        <v>1</v>
      </c>
      <c r="R984" t="str">
        <f t="shared" si="46"/>
        <v>Unique ID</v>
      </c>
      <c r="V984" t="str">
        <f t="shared" si="47"/>
        <v>No</v>
      </c>
    </row>
    <row r="985" spans="1:22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45"/>
        <v>1</v>
      </c>
      <c r="R985" t="str">
        <f t="shared" si="46"/>
        <v>Unique ID</v>
      </c>
      <c r="V985" t="str">
        <f t="shared" si="47"/>
        <v>No</v>
      </c>
    </row>
    <row r="986" spans="1:22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45"/>
        <v>1</v>
      </c>
      <c r="R986" t="str">
        <f t="shared" si="46"/>
        <v>Unique ID</v>
      </c>
      <c r="V986" t="str">
        <f t="shared" si="47"/>
        <v>No</v>
      </c>
    </row>
    <row r="987" spans="1:22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45"/>
        <v>1</v>
      </c>
      <c r="R987" t="str">
        <f t="shared" si="46"/>
        <v>Unique ID</v>
      </c>
      <c r="V987" t="str">
        <f t="shared" si="47"/>
        <v>No</v>
      </c>
    </row>
    <row r="988" spans="1:22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45"/>
        <v>1</v>
      </c>
      <c r="R988" t="str">
        <f t="shared" si="46"/>
        <v>Unique ID</v>
      </c>
      <c r="V988" t="str">
        <f t="shared" si="47"/>
        <v>No</v>
      </c>
    </row>
    <row r="989" spans="1:22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45"/>
        <v>1</v>
      </c>
      <c r="R989" t="str">
        <f t="shared" si="46"/>
        <v>Unique ID</v>
      </c>
      <c r="V989" t="str">
        <f t="shared" si="47"/>
        <v>No</v>
      </c>
    </row>
    <row r="990" spans="1:22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45"/>
        <v>1</v>
      </c>
      <c r="R990" t="str">
        <f t="shared" si="46"/>
        <v>Unique ID</v>
      </c>
      <c r="V990" t="str">
        <f t="shared" si="47"/>
        <v>No</v>
      </c>
    </row>
    <row r="991" spans="1:22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45"/>
        <v>1</v>
      </c>
      <c r="R991" t="str">
        <f t="shared" si="46"/>
        <v>Unique ID</v>
      </c>
      <c r="V991" t="str">
        <f t="shared" si="47"/>
        <v>No</v>
      </c>
    </row>
    <row r="992" spans="1:22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45"/>
        <v>1</v>
      </c>
      <c r="R992" t="str">
        <f t="shared" si="46"/>
        <v>Unique ID</v>
      </c>
      <c r="V992" t="str">
        <f t="shared" si="47"/>
        <v>No</v>
      </c>
    </row>
    <row r="993" spans="1:22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45"/>
        <v>1</v>
      </c>
      <c r="R993" t="str">
        <f t="shared" si="46"/>
        <v>Unique ID</v>
      </c>
      <c r="V993" t="str">
        <f t="shared" si="47"/>
        <v>No</v>
      </c>
    </row>
    <row r="994" spans="1:22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45"/>
        <v>1</v>
      </c>
      <c r="R994" t="str">
        <f t="shared" si="46"/>
        <v>Unique ID</v>
      </c>
      <c r="V994" t="str">
        <f t="shared" si="47"/>
        <v>Yes</v>
      </c>
    </row>
    <row r="995" spans="1:22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45"/>
        <v>1</v>
      </c>
      <c r="R995" t="str">
        <f t="shared" si="46"/>
        <v>Unique ID</v>
      </c>
      <c r="V995" t="str">
        <f t="shared" si="47"/>
        <v>No</v>
      </c>
    </row>
    <row r="996" spans="1:22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45"/>
        <v>1</v>
      </c>
      <c r="R996" t="str">
        <f t="shared" si="46"/>
        <v>Unique ID</v>
      </c>
      <c r="V996" t="str">
        <f t="shared" si="47"/>
        <v>No</v>
      </c>
    </row>
    <row r="997" spans="1:22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45"/>
        <v>1</v>
      </c>
      <c r="R997" t="str">
        <f t="shared" si="46"/>
        <v>Unique ID</v>
      </c>
      <c r="V997" t="str">
        <f t="shared" si="47"/>
        <v>No</v>
      </c>
    </row>
    <row r="998" spans="1:22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45"/>
        <v>1</v>
      </c>
      <c r="R998" t="str">
        <f t="shared" si="46"/>
        <v>Unique ID</v>
      </c>
      <c r="V998" t="str">
        <f t="shared" si="47"/>
        <v>Yes</v>
      </c>
    </row>
    <row r="999" spans="1:22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45"/>
        <v>1</v>
      </c>
      <c r="R999" t="str">
        <f t="shared" si="46"/>
        <v>Unique ID</v>
      </c>
      <c r="V999" t="str">
        <f t="shared" si="47"/>
        <v>No</v>
      </c>
    </row>
    <row r="1000" spans="1:22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45"/>
        <v>1</v>
      </c>
      <c r="R1000" t="str">
        <f t="shared" si="46"/>
        <v>Unique ID</v>
      </c>
      <c r="V1000" t="str">
        <f t="shared" si="47"/>
        <v>No</v>
      </c>
    </row>
    <row r="1001" spans="1:22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45"/>
        <v>1</v>
      </c>
      <c r="R1001" t="str">
        <f t="shared" si="46"/>
        <v>Unique ID</v>
      </c>
      <c r="V1001" t="str">
        <f t="shared" si="47"/>
        <v>No</v>
      </c>
    </row>
    <row r="1002" spans="1:22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45"/>
        <v>1</v>
      </c>
      <c r="R1002" t="str">
        <f t="shared" si="46"/>
        <v>Unique ID</v>
      </c>
      <c r="V1002" t="str">
        <f t="shared" si="47"/>
        <v>No</v>
      </c>
    </row>
    <row r="1003" spans="1:22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45"/>
        <v>1</v>
      </c>
      <c r="R1003" t="str">
        <f t="shared" si="46"/>
        <v>Unique ID</v>
      </c>
      <c r="V1003" t="str">
        <f t="shared" si="47"/>
        <v>No</v>
      </c>
    </row>
    <row r="1004" spans="1:22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45"/>
        <v>1</v>
      </c>
      <c r="R1004" t="str">
        <f t="shared" si="46"/>
        <v>Unique ID</v>
      </c>
      <c r="V1004" t="str">
        <f t="shared" si="47"/>
        <v>No</v>
      </c>
    </row>
    <row r="1005" spans="1:22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45"/>
        <v>1</v>
      </c>
      <c r="R1005" t="str">
        <f t="shared" si="46"/>
        <v>Unique ID</v>
      </c>
      <c r="V1005" t="str">
        <f t="shared" si="47"/>
        <v>No</v>
      </c>
    </row>
    <row r="1006" spans="1:22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45"/>
        <v>1</v>
      </c>
      <c r="R1006" t="str">
        <f t="shared" si="46"/>
        <v>Unique ID</v>
      </c>
      <c r="V1006" t="str">
        <f t="shared" si="47"/>
        <v>No</v>
      </c>
    </row>
    <row r="1007" spans="1:22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45"/>
        <v>1</v>
      </c>
      <c r="R1007" t="str">
        <f t="shared" si="46"/>
        <v>Unique ID</v>
      </c>
      <c r="V1007" t="str">
        <f t="shared" si="47"/>
        <v>No</v>
      </c>
    </row>
    <row r="1008" spans="1:22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45"/>
        <v>1</v>
      </c>
      <c r="R1008" t="str">
        <f t="shared" si="46"/>
        <v>Unique ID</v>
      </c>
      <c r="V1008" t="str">
        <f t="shared" si="47"/>
        <v>No</v>
      </c>
    </row>
    <row r="1009" spans="1:22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45"/>
        <v>1</v>
      </c>
      <c r="R1009" t="str">
        <f t="shared" si="46"/>
        <v>Unique ID</v>
      </c>
      <c r="V1009" t="str">
        <f t="shared" si="47"/>
        <v>No</v>
      </c>
    </row>
    <row r="1010" spans="1:22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45"/>
        <v>1</v>
      </c>
      <c r="R1010" t="str">
        <f t="shared" si="46"/>
        <v>Unique ID</v>
      </c>
      <c r="V1010" t="str">
        <f t="shared" si="47"/>
        <v>No</v>
      </c>
    </row>
    <row r="1011" spans="1:22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45"/>
        <v>1</v>
      </c>
      <c r="R1011" t="str">
        <f t="shared" si="46"/>
        <v>Unique ID</v>
      </c>
      <c r="V1011" t="str">
        <f t="shared" si="47"/>
        <v>No</v>
      </c>
    </row>
    <row r="1012" spans="1:22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45"/>
        <v>1</v>
      </c>
      <c r="R1012" t="str">
        <f t="shared" si="46"/>
        <v>Unique ID</v>
      </c>
      <c r="V1012" t="str">
        <f t="shared" si="47"/>
        <v>No</v>
      </c>
    </row>
    <row r="1013" spans="1:22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45"/>
        <v>1</v>
      </c>
      <c r="R1013" t="str">
        <f t="shared" si="46"/>
        <v>Unique ID</v>
      </c>
      <c r="V1013" t="str">
        <f t="shared" si="47"/>
        <v>Yes</v>
      </c>
    </row>
    <row r="1014" spans="1:22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45"/>
        <v>1</v>
      </c>
      <c r="R1014" t="str">
        <f t="shared" si="46"/>
        <v>Unique ID</v>
      </c>
      <c r="V1014" t="str">
        <f t="shared" si="47"/>
        <v>No</v>
      </c>
    </row>
    <row r="1015" spans="1:22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45"/>
        <v>1</v>
      </c>
      <c r="R1015" t="str">
        <f t="shared" si="46"/>
        <v>Unique ID</v>
      </c>
      <c r="V1015" t="str">
        <f t="shared" si="47"/>
        <v>No</v>
      </c>
    </row>
    <row r="1016" spans="1:22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45"/>
        <v>1</v>
      </c>
      <c r="R1016" t="str">
        <f t="shared" si="46"/>
        <v>Unique ID</v>
      </c>
      <c r="V1016" t="str">
        <f t="shared" si="47"/>
        <v>No</v>
      </c>
    </row>
    <row r="1017" spans="1:22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45"/>
        <v>1</v>
      </c>
      <c r="R1017" t="str">
        <f t="shared" si="46"/>
        <v>Unique ID</v>
      </c>
      <c r="V1017" t="str">
        <f t="shared" si="47"/>
        <v>No</v>
      </c>
    </row>
    <row r="1018" spans="1:22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45"/>
        <v>1</v>
      </c>
      <c r="R1018" t="str">
        <f t="shared" si="46"/>
        <v>Unique ID</v>
      </c>
      <c r="V1018" t="str">
        <f t="shared" si="47"/>
        <v>No</v>
      </c>
    </row>
    <row r="1019" spans="1:22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45"/>
        <v>1</v>
      </c>
      <c r="R1019" t="str">
        <f t="shared" si="46"/>
        <v>Unique ID</v>
      </c>
      <c r="V1019" t="str">
        <f t="shared" si="47"/>
        <v>No</v>
      </c>
    </row>
    <row r="1020" spans="1:22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45"/>
        <v>1</v>
      </c>
      <c r="R1020" t="str">
        <f t="shared" si="46"/>
        <v>Unique ID</v>
      </c>
      <c r="V1020" t="str">
        <f t="shared" si="47"/>
        <v>No</v>
      </c>
    </row>
    <row r="1021" spans="1:22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45"/>
        <v>1</v>
      </c>
      <c r="R1021" t="str">
        <f t="shared" si="46"/>
        <v>Unique ID</v>
      </c>
      <c r="V1021" t="str">
        <f t="shared" si="47"/>
        <v>No</v>
      </c>
    </row>
    <row r="1022" spans="1:22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45"/>
        <v>1</v>
      </c>
      <c r="R1022" t="str">
        <f t="shared" si="46"/>
        <v>Unique ID</v>
      </c>
      <c r="V1022" t="str">
        <f t="shared" si="47"/>
        <v>No</v>
      </c>
    </row>
    <row r="1023" spans="1:22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45"/>
        <v>1</v>
      </c>
      <c r="R1023" t="str">
        <f t="shared" si="46"/>
        <v>Unique ID</v>
      </c>
      <c r="V1023" t="str">
        <f t="shared" si="47"/>
        <v>No</v>
      </c>
    </row>
    <row r="1024" spans="1:22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45"/>
        <v>1</v>
      </c>
      <c r="R1024" t="str">
        <f t="shared" si="46"/>
        <v>Unique ID</v>
      </c>
      <c r="V1024" t="str">
        <f t="shared" si="47"/>
        <v>No</v>
      </c>
    </row>
    <row r="1025" spans="1:22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45"/>
        <v>1</v>
      </c>
      <c r="R1025" t="str">
        <f t="shared" si="46"/>
        <v>Unique ID</v>
      </c>
      <c r="V1025" t="str">
        <f t="shared" si="47"/>
        <v>No</v>
      </c>
    </row>
    <row r="1026" spans="1:22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si="45"/>
        <v>1</v>
      </c>
      <c r="R1026" t="str">
        <f t="shared" si="46"/>
        <v>Unique ID</v>
      </c>
      <c r="V1026" t="str">
        <f t="shared" si="47"/>
        <v>Yes</v>
      </c>
    </row>
    <row r="1027" spans="1:22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ref="Q1027:Q1090" si="48">COUNTIF($A:$A,A1027)</f>
        <v>1</v>
      </c>
      <c r="R1027" t="str">
        <f t="shared" ref="R1027:R1090" si="49">IF(Q1027&gt;1,"Duplicate ID","Unique ID")</f>
        <v>Unique ID</v>
      </c>
      <c r="V1027" t="str">
        <f t="shared" ref="V1027:V1090" si="50">IF(OR(L1027&lt;$U$5,L1027&gt;$U$6),"Yes","No")</f>
        <v>No</v>
      </c>
    </row>
    <row r="1028" spans="1:22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48"/>
        <v>1</v>
      </c>
      <c r="R1028" t="str">
        <f t="shared" si="49"/>
        <v>Unique ID</v>
      </c>
      <c r="V1028" t="str">
        <f t="shared" si="50"/>
        <v>No</v>
      </c>
    </row>
    <row r="1029" spans="1:22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48"/>
        <v>1</v>
      </c>
      <c r="R1029" t="str">
        <f t="shared" si="49"/>
        <v>Unique ID</v>
      </c>
      <c r="V1029" t="str">
        <f t="shared" si="50"/>
        <v>No</v>
      </c>
    </row>
    <row r="1030" spans="1:22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48"/>
        <v>1</v>
      </c>
      <c r="R1030" t="str">
        <f t="shared" si="49"/>
        <v>Unique ID</v>
      </c>
      <c r="V1030" t="str">
        <f t="shared" si="50"/>
        <v>No</v>
      </c>
    </row>
    <row r="1031" spans="1:22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48"/>
        <v>1</v>
      </c>
      <c r="R1031" t="str">
        <f t="shared" si="49"/>
        <v>Unique ID</v>
      </c>
      <c r="V1031" t="str">
        <f t="shared" si="50"/>
        <v>No</v>
      </c>
    </row>
    <row r="1032" spans="1:22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48"/>
        <v>1</v>
      </c>
      <c r="R1032" t="str">
        <f t="shared" si="49"/>
        <v>Unique ID</v>
      </c>
      <c r="V1032" t="str">
        <f t="shared" si="50"/>
        <v>No</v>
      </c>
    </row>
    <row r="1033" spans="1:22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48"/>
        <v>1</v>
      </c>
      <c r="R1033" t="str">
        <f t="shared" si="49"/>
        <v>Unique ID</v>
      </c>
      <c r="V1033" t="str">
        <f t="shared" si="50"/>
        <v>No</v>
      </c>
    </row>
    <row r="1034" spans="1:22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48"/>
        <v>1</v>
      </c>
      <c r="R1034" t="str">
        <f t="shared" si="49"/>
        <v>Unique ID</v>
      </c>
      <c r="V1034" t="str">
        <f t="shared" si="50"/>
        <v>No</v>
      </c>
    </row>
    <row r="1035" spans="1:22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48"/>
        <v>1</v>
      </c>
      <c r="R1035" t="str">
        <f t="shared" si="49"/>
        <v>Unique ID</v>
      </c>
      <c r="V1035" t="str">
        <f t="shared" si="50"/>
        <v>No</v>
      </c>
    </row>
    <row r="1036" spans="1:22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48"/>
        <v>1</v>
      </c>
      <c r="R1036" t="str">
        <f t="shared" si="49"/>
        <v>Unique ID</v>
      </c>
      <c r="V1036" t="str">
        <f t="shared" si="50"/>
        <v>No</v>
      </c>
    </row>
    <row r="1037" spans="1:22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48"/>
        <v>1</v>
      </c>
      <c r="R1037" t="str">
        <f t="shared" si="49"/>
        <v>Unique ID</v>
      </c>
      <c r="V1037" t="str">
        <f t="shared" si="50"/>
        <v>No</v>
      </c>
    </row>
    <row r="1038" spans="1:22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48"/>
        <v>1</v>
      </c>
      <c r="R1038" t="str">
        <f t="shared" si="49"/>
        <v>Unique ID</v>
      </c>
      <c r="V1038" t="str">
        <f t="shared" si="50"/>
        <v>No</v>
      </c>
    </row>
    <row r="1039" spans="1:22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48"/>
        <v>1</v>
      </c>
      <c r="R1039" t="str">
        <f t="shared" si="49"/>
        <v>Unique ID</v>
      </c>
      <c r="V1039" t="str">
        <f t="shared" si="50"/>
        <v>No</v>
      </c>
    </row>
    <row r="1040" spans="1:22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48"/>
        <v>1</v>
      </c>
      <c r="R1040" t="str">
        <f t="shared" si="49"/>
        <v>Unique ID</v>
      </c>
      <c r="V1040" t="str">
        <f t="shared" si="50"/>
        <v>No</v>
      </c>
    </row>
    <row r="1041" spans="1:22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48"/>
        <v>1</v>
      </c>
      <c r="R1041" t="str">
        <f t="shared" si="49"/>
        <v>Unique ID</v>
      </c>
      <c r="V1041" t="str">
        <f t="shared" si="50"/>
        <v>No</v>
      </c>
    </row>
    <row r="1042" spans="1:22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48"/>
        <v>1</v>
      </c>
      <c r="R1042" t="str">
        <f t="shared" si="49"/>
        <v>Unique ID</v>
      </c>
      <c r="V1042" t="str">
        <f t="shared" si="50"/>
        <v>No</v>
      </c>
    </row>
    <row r="1043" spans="1:22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48"/>
        <v>1</v>
      </c>
      <c r="R1043" t="str">
        <f t="shared" si="49"/>
        <v>Unique ID</v>
      </c>
      <c r="V1043" t="str">
        <f t="shared" si="50"/>
        <v>No</v>
      </c>
    </row>
    <row r="1044" spans="1:22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48"/>
        <v>1</v>
      </c>
      <c r="R1044" t="str">
        <f t="shared" si="49"/>
        <v>Unique ID</v>
      </c>
      <c r="V1044" t="str">
        <f t="shared" si="50"/>
        <v>No</v>
      </c>
    </row>
    <row r="1045" spans="1:22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48"/>
        <v>1</v>
      </c>
      <c r="R1045" t="str">
        <f t="shared" si="49"/>
        <v>Unique ID</v>
      </c>
      <c r="V1045" t="str">
        <f t="shared" si="50"/>
        <v>No</v>
      </c>
    </row>
    <row r="1046" spans="1:22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48"/>
        <v>1</v>
      </c>
      <c r="R1046" t="str">
        <f t="shared" si="49"/>
        <v>Unique ID</v>
      </c>
      <c r="V1046" t="str">
        <f t="shared" si="50"/>
        <v>No</v>
      </c>
    </row>
    <row r="1047" spans="1:22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48"/>
        <v>1</v>
      </c>
      <c r="R1047" t="str">
        <f t="shared" si="49"/>
        <v>Unique ID</v>
      </c>
      <c r="V1047" t="str">
        <f t="shared" si="50"/>
        <v>No</v>
      </c>
    </row>
    <row r="1048" spans="1:22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48"/>
        <v>1</v>
      </c>
      <c r="R1048" t="str">
        <f t="shared" si="49"/>
        <v>Unique ID</v>
      </c>
      <c r="V1048" t="str">
        <f t="shared" si="50"/>
        <v>No</v>
      </c>
    </row>
    <row r="1049" spans="1:22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48"/>
        <v>1</v>
      </c>
      <c r="R1049" t="str">
        <f t="shared" si="49"/>
        <v>Unique ID</v>
      </c>
      <c r="V1049" t="str">
        <f t="shared" si="50"/>
        <v>No</v>
      </c>
    </row>
    <row r="1050" spans="1:22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48"/>
        <v>1</v>
      </c>
      <c r="R1050" t="str">
        <f t="shared" si="49"/>
        <v>Unique ID</v>
      </c>
      <c r="V1050" t="str">
        <f t="shared" si="50"/>
        <v>No</v>
      </c>
    </row>
    <row r="1051" spans="1:22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48"/>
        <v>1</v>
      </c>
      <c r="R1051" t="str">
        <f t="shared" si="49"/>
        <v>Unique ID</v>
      </c>
      <c r="V1051" t="str">
        <f t="shared" si="50"/>
        <v>No</v>
      </c>
    </row>
    <row r="1052" spans="1:22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48"/>
        <v>1</v>
      </c>
      <c r="R1052" t="str">
        <f t="shared" si="49"/>
        <v>Unique ID</v>
      </c>
      <c r="V1052" t="str">
        <f t="shared" si="50"/>
        <v>No</v>
      </c>
    </row>
    <row r="1053" spans="1:22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48"/>
        <v>1</v>
      </c>
      <c r="R1053" t="str">
        <f t="shared" si="49"/>
        <v>Unique ID</v>
      </c>
      <c r="V1053" t="str">
        <f t="shared" si="50"/>
        <v>No</v>
      </c>
    </row>
    <row r="1054" spans="1:22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48"/>
        <v>1</v>
      </c>
      <c r="R1054" t="str">
        <f t="shared" si="49"/>
        <v>Unique ID</v>
      </c>
      <c r="V1054" t="str">
        <f t="shared" si="50"/>
        <v>Yes</v>
      </c>
    </row>
    <row r="1055" spans="1:22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48"/>
        <v>1</v>
      </c>
      <c r="R1055" t="str">
        <f t="shared" si="49"/>
        <v>Unique ID</v>
      </c>
      <c r="V1055" t="str">
        <f t="shared" si="50"/>
        <v>No</v>
      </c>
    </row>
    <row r="1056" spans="1:22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48"/>
        <v>1</v>
      </c>
      <c r="R1056" t="str">
        <f t="shared" si="49"/>
        <v>Unique ID</v>
      </c>
      <c r="V1056" t="str">
        <f t="shared" si="50"/>
        <v>No</v>
      </c>
    </row>
    <row r="1057" spans="1:22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48"/>
        <v>1</v>
      </c>
      <c r="R1057" t="str">
        <f t="shared" si="49"/>
        <v>Unique ID</v>
      </c>
      <c r="V1057" t="str">
        <f t="shared" si="50"/>
        <v>No</v>
      </c>
    </row>
    <row r="1058" spans="1:22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48"/>
        <v>1</v>
      </c>
      <c r="R1058" t="str">
        <f t="shared" si="49"/>
        <v>Unique ID</v>
      </c>
      <c r="V1058" t="str">
        <f t="shared" si="50"/>
        <v>No</v>
      </c>
    </row>
    <row r="1059" spans="1:22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48"/>
        <v>1</v>
      </c>
      <c r="R1059" t="str">
        <f t="shared" si="49"/>
        <v>Unique ID</v>
      </c>
      <c r="V1059" t="str">
        <f t="shared" si="50"/>
        <v>No</v>
      </c>
    </row>
    <row r="1060" spans="1:22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48"/>
        <v>2</v>
      </c>
      <c r="R1060" t="str">
        <f t="shared" si="49"/>
        <v>Duplicate ID</v>
      </c>
      <c r="V1060" t="str">
        <f t="shared" si="50"/>
        <v>No</v>
      </c>
    </row>
    <row r="1061" spans="1:22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48"/>
        <v>1</v>
      </c>
      <c r="R1061" t="str">
        <f t="shared" si="49"/>
        <v>Unique ID</v>
      </c>
      <c r="V1061" t="str">
        <f t="shared" si="50"/>
        <v>No</v>
      </c>
    </row>
    <row r="1062" spans="1:22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48"/>
        <v>1</v>
      </c>
      <c r="R1062" t="str">
        <f t="shared" si="49"/>
        <v>Unique ID</v>
      </c>
      <c r="V1062" t="str">
        <f t="shared" si="50"/>
        <v>No</v>
      </c>
    </row>
    <row r="1063" spans="1:22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48"/>
        <v>1</v>
      </c>
      <c r="R1063" t="str">
        <f t="shared" si="49"/>
        <v>Unique ID</v>
      </c>
      <c r="V1063" t="str">
        <f t="shared" si="50"/>
        <v>Yes</v>
      </c>
    </row>
    <row r="1064" spans="1:22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48"/>
        <v>1</v>
      </c>
      <c r="R1064" t="str">
        <f t="shared" si="49"/>
        <v>Unique ID</v>
      </c>
      <c r="V1064" t="str">
        <f t="shared" si="50"/>
        <v>No</v>
      </c>
    </row>
    <row r="1065" spans="1:22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48"/>
        <v>1</v>
      </c>
      <c r="R1065" t="str">
        <f t="shared" si="49"/>
        <v>Unique ID</v>
      </c>
      <c r="V1065" t="str">
        <f t="shared" si="50"/>
        <v>No</v>
      </c>
    </row>
    <row r="1066" spans="1:22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48"/>
        <v>1</v>
      </c>
      <c r="R1066" t="str">
        <f t="shared" si="49"/>
        <v>Unique ID</v>
      </c>
      <c r="V1066" t="str">
        <f t="shared" si="50"/>
        <v>No</v>
      </c>
    </row>
    <row r="1067" spans="1:22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48"/>
        <v>1</v>
      </c>
      <c r="R1067" t="str">
        <f t="shared" si="49"/>
        <v>Unique ID</v>
      </c>
      <c r="V1067" t="str">
        <f t="shared" si="50"/>
        <v>No</v>
      </c>
    </row>
    <row r="1068" spans="1:22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48"/>
        <v>1</v>
      </c>
      <c r="R1068" t="str">
        <f t="shared" si="49"/>
        <v>Unique ID</v>
      </c>
      <c r="V1068" t="str">
        <f t="shared" si="50"/>
        <v>No</v>
      </c>
    </row>
    <row r="1069" spans="1:22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48"/>
        <v>1</v>
      </c>
      <c r="R1069" t="str">
        <f t="shared" si="49"/>
        <v>Unique ID</v>
      </c>
      <c r="V1069" t="str">
        <f t="shared" si="50"/>
        <v>No</v>
      </c>
    </row>
    <row r="1070" spans="1:22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48"/>
        <v>1</v>
      </c>
      <c r="R1070" t="str">
        <f t="shared" si="49"/>
        <v>Unique ID</v>
      </c>
      <c r="V1070" t="str">
        <f t="shared" si="50"/>
        <v>No</v>
      </c>
    </row>
    <row r="1071" spans="1:22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48"/>
        <v>1</v>
      </c>
      <c r="R1071" t="str">
        <f t="shared" si="49"/>
        <v>Unique ID</v>
      </c>
      <c r="V1071" t="str">
        <f t="shared" si="50"/>
        <v>No</v>
      </c>
    </row>
    <row r="1072" spans="1:22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48"/>
        <v>1</v>
      </c>
      <c r="R1072" t="str">
        <f t="shared" si="49"/>
        <v>Unique ID</v>
      </c>
      <c r="V1072" t="str">
        <f t="shared" si="50"/>
        <v>No</v>
      </c>
    </row>
    <row r="1073" spans="1:22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48"/>
        <v>1</v>
      </c>
      <c r="R1073" t="str">
        <f t="shared" si="49"/>
        <v>Unique ID</v>
      </c>
      <c r="V1073" t="str">
        <f t="shared" si="50"/>
        <v>No</v>
      </c>
    </row>
    <row r="1074" spans="1:22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48"/>
        <v>1</v>
      </c>
      <c r="R1074" t="str">
        <f t="shared" si="49"/>
        <v>Unique ID</v>
      </c>
      <c r="V1074" t="str">
        <f t="shared" si="50"/>
        <v>No</v>
      </c>
    </row>
    <row r="1075" spans="1:22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48"/>
        <v>1</v>
      </c>
      <c r="R1075" t="str">
        <f t="shared" si="49"/>
        <v>Unique ID</v>
      </c>
      <c r="V1075" t="str">
        <f t="shared" si="50"/>
        <v>Yes</v>
      </c>
    </row>
    <row r="1076" spans="1:22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48"/>
        <v>1</v>
      </c>
      <c r="R1076" t="str">
        <f t="shared" si="49"/>
        <v>Unique ID</v>
      </c>
      <c r="V1076" t="str">
        <f t="shared" si="50"/>
        <v>No</v>
      </c>
    </row>
    <row r="1077" spans="1:22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48"/>
        <v>1</v>
      </c>
      <c r="R1077" t="str">
        <f t="shared" si="49"/>
        <v>Unique ID</v>
      </c>
      <c r="V1077" t="str">
        <f t="shared" si="50"/>
        <v>No</v>
      </c>
    </row>
    <row r="1078" spans="1:22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48"/>
        <v>1</v>
      </c>
      <c r="R1078" t="str">
        <f t="shared" si="49"/>
        <v>Unique ID</v>
      </c>
      <c r="V1078" t="str">
        <f t="shared" si="50"/>
        <v>Yes</v>
      </c>
    </row>
    <row r="1079" spans="1:22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48"/>
        <v>1</v>
      </c>
      <c r="R1079" t="str">
        <f t="shared" si="49"/>
        <v>Unique ID</v>
      </c>
      <c r="V1079" t="str">
        <f t="shared" si="50"/>
        <v>Yes</v>
      </c>
    </row>
    <row r="1080" spans="1:22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48"/>
        <v>1</v>
      </c>
      <c r="R1080" t="str">
        <f t="shared" si="49"/>
        <v>Unique ID</v>
      </c>
      <c r="V1080" t="str">
        <f t="shared" si="50"/>
        <v>No</v>
      </c>
    </row>
    <row r="1081" spans="1:22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48"/>
        <v>1</v>
      </c>
      <c r="R1081" t="str">
        <f t="shared" si="49"/>
        <v>Unique ID</v>
      </c>
      <c r="V1081" t="str">
        <f t="shared" si="50"/>
        <v>No</v>
      </c>
    </row>
    <row r="1082" spans="1:22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48"/>
        <v>1</v>
      </c>
      <c r="R1082" t="str">
        <f t="shared" si="49"/>
        <v>Unique ID</v>
      </c>
      <c r="V1082" t="str">
        <f t="shared" si="50"/>
        <v>No</v>
      </c>
    </row>
    <row r="1083" spans="1:22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48"/>
        <v>1</v>
      </c>
      <c r="R1083" t="str">
        <f t="shared" si="49"/>
        <v>Unique ID</v>
      </c>
      <c r="V1083" t="str">
        <f t="shared" si="50"/>
        <v>No</v>
      </c>
    </row>
    <row r="1084" spans="1:22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48"/>
        <v>1</v>
      </c>
      <c r="R1084" t="str">
        <f t="shared" si="49"/>
        <v>Unique ID</v>
      </c>
      <c r="V1084" t="str">
        <f t="shared" si="50"/>
        <v>No</v>
      </c>
    </row>
    <row r="1085" spans="1:22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48"/>
        <v>1</v>
      </c>
      <c r="R1085" t="str">
        <f t="shared" si="49"/>
        <v>Unique ID</v>
      </c>
      <c r="V1085" t="str">
        <f t="shared" si="50"/>
        <v>No</v>
      </c>
    </row>
    <row r="1086" spans="1:22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48"/>
        <v>1</v>
      </c>
      <c r="R1086" t="str">
        <f t="shared" si="49"/>
        <v>Unique ID</v>
      </c>
      <c r="V1086" t="str">
        <f t="shared" si="50"/>
        <v>No</v>
      </c>
    </row>
    <row r="1087" spans="1:22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48"/>
        <v>1</v>
      </c>
      <c r="R1087" t="str">
        <f t="shared" si="49"/>
        <v>Unique ID</v>
      </c>
      <c r="V1087" t="str">
        <f t="shared" si="50"/>
        <v>No</v>
      </c>
    </row>
    <row r="1088" spans="1:22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48"/>
        <v>1</v>
      </c>
      <c r="R1088" t="str">
        <f t="shared" si="49"/>
        <v>Unique ID</v>
      </c>
      <c r="V1088" t="str">
        <f t="shared" si="50"/>
        <v>No</v>
      </c>
    </row>
    <row r="1089" spans="1:22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48"/>
        <v>1</v>
      </c>
      <c r="R1089" t="str">
        <f t="shared" si="49"/>
        <v>Unique ID</v>
      </c>
      <c r="V1089" t="str">
        <f t="shared" si="50"/>
        <v>No</v>
      </c>
    </row>
    <row r="1090" spans="1:22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si="48"/>
        <v>1</v>
      </c>
      <c r="R1090" t="str">
        <f t="shared" si="49"/>
        <v>Unique ID</v>
      </c>
      <c r="V1090" t="str">
        <f t="shared" si="50"/>
        <v>No</v>
      </c>
    </row>
    <row r="1091" spans="1:22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ref="Q1091:Q1154" si="51">COUNTIF($A:$A,A1091)</f>
        <v>1</v>
      </c>
      <c r="R1091" t="str">
        <f t="shared" ref="R1091:R1154" si="52">IF(Q1091&gt;1,"Duplicate ID","Unique ID")</f>
        <v>Unique ID</v>
      </c>
      <c r="V1091" t="str">
        <f t="shared" ref="V1091:V1154" si="53">IF(OR(L1091&lt;$U$5,L1091&gt;$U$6),"Yes","No")</f>
        <v>No</v>
      </c>
    </row>
    <row r="1092" spans="1:22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51"/>
        <v>1</v>
      </c>
      <c r="R1092" t="str">
        <f t="shared" si="52"/>
        <v>Unique ID</v>
      </c>
      <c r="V1092" t="str">
        <f t="shared" si="53"/>
        <v>No</v>
      </c>
    </row>
    <row r="1093" spans="1:22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51"/>
        <v>1</v>
      </c>
      <c r="R1093" t="str">
        <f t="shared" si="52"/>
        <v>Unique ID</v>
      </c>
      <c r="V1093" t="str">
        <f t="shared" si="53"/>
        <v>No</v>
      </c>
    </row>
    <row r="1094" spans="1:22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51"/>
        <v>1</v>
      </c>
      <c r="R1094" t="str">
        <f t="shared" si="52"/>
        <v>Unique ID</v>
      </c>
      <c r="V1094" t="str">
        <f t="shared" si="53"/>
        <v>No</v>
      </c>
    </row>
    <row r="1095" spans="1:22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51"/>
        <v>1</v>
      </c>
      <c r="R1095" t="str">
        <f t="shared" si="52"/>
        <v>Unique ID</v>
      </c>
      <c r="V1095" t="str">
        <f t="shared" si="53"/>
        <v>No</v>
      </c>
    </row>
    <row r="1096" spans="1:22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51"/>
        <v>1</v>
      </c>
      <c r="R1096" t="str">
        <f t="shared" si="52"/>
        <v>Unique ID</v>
      </c>
      <c r="V1096" t="str">
        <f t="shared" si="53"/>
        <v>No</v>
      </c>
    </row>
    <row r="1097" spans="1:22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51"/>
        <v>1</v>
      </c>
      <c r="R1097" t="str">
        <f t="shared" si="52"/>
        <v>Unique ID</v>
      </c>
      <c r="V1097" t="str">
        <f t="shared" si="53"/>
        <v>No</v>
      </c>
    </row>
    <row r="1098" spans="1:22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51"/>
        <v>1</v>
      </c>
      <c r="R1098" t="str">
        <f t="shared" si="52"/>
        <v>Unique ID</v>
      </c>
      <c r="V1098" t="str">
        <f t="shared" si="53"/>
        <v>No</v>
      </c>
    </row>
    <row r="1099" spans="1:22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51"/>
        <v>1</v>
      </c>
      <c r="R1099" t="str">
        <f t="shared" si="52"/>
        <v>Unique ID</v>
      </c>
      <c r="V1099" t="str">
        <f t="shared" si="53"/>
        <v>No</v>
      </c>
    </row>
    <row r="1100" spans="1:22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51"/>
        <v>1</v>
      </c>
      <c r="R1100" t="str">
        <f t="shared" si="52"/>
        <v>Unique ID</v>
      </c>
      <c r="V1100" t="str">
        <f t="shared" si="53"/>
        <v>No</v>
      </c>
    </row>
    <row r="1101" spans="1:22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51"/>
        <v>1</v>
      </c>
      <c r="R1101" t="str">
        <f t="shared" si="52"/>
        <v>Unique ID</v>
      </c>
      <c r="V1101" t="str">
        <f t="shared" si="53"/>
        <v>No</v>
      </c>
    </row>
    <row r="1102" spans="1:22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51"/>
        <v>1</v>
      </c>
      <c r="R1102" t="str">
        <f t="shared" si="52"/>
        <v>Unique ID</v>
      </c>
      <c r="V1102" t="str">
        <f t="shared" si="53"/>
        <v>No</v>
      </c>
    </row>
    <row r="1103" spans="1:22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51"/>
        <v>1</v>
      </c>
      <c r="R1103" t="str">
        <f t="shared" si="52"/>
        <v>Unique ID</v>
      </c>
      <c r="V1103" t="str">
        <f t="shared" si="53"/>
        <v>No</v>
      </c>
    </row>
    <row r="1104" spans="1:22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51"/>
        <v>1</v>
      </c>
      <c r="R1104" t="str">
        <f t="shared" si="52"/>
        <v>Unique ID</v>
      </c>
      <c r="V1104" t="str">
        <f t="shared" si="53"/>
        <v>No</v>
      </c>
    </row>
    <row r="1105" spans="1:22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51"/>
        <v>1</v>
      </c>
      <c r="R1105" t="str">
        <f t="shared" si="52"/>
        <v>Unique ID</v>
      </c>
      <c r="V1105" t="str">
        <f t="shared" si="53"/>
        <v>No</v>
      </c>
    </row>
    <row r="1106" spans="1:22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51"/>
        <v>1</v>
      </c>
      <c r="R1106" t="str">
        <f t="shared" si="52"/>
        <v>Unique ID</v>
      </c>
      <c r="V1106" t="str">
        <f t="shared" si="53"/>
        <v>No</v>
      </c>
    </row>
    <row r="1107" spans="1:22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51"/>
        <v>1</v>
      </c>
      <c r="R1107" t="str">
        <f t="shared" si="52"/>
        <v>Unique ID</v>
      </c>
      <c r="V1107" t="str">
        <f t="shared" si="53"/>
        <v>No</v>
      </c>
    </row>
    <row r="1108" spans="1:22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51"/>
        <v>1</v>
      </c>
      <c r="R1108" t="str">
        <f t="shared" si="52"/>
        <v>Unique ID</v>
      </c>
      <c r="V1108" t="str">
        <f t="shared" si="53"/>
        <v>No</v>
      </c>
    </row>
    <row r="1109" spans="1:22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51"/>
        <v>1</v>
      </c>
      <c r="R1109" t="str">
        <f t="shared" si="52"/>
        <v>Unique ID</v>
      </c>
      <c r="V1109" t="str">
        <f t="shared" si="53"/>
        <v>No</v>
      </c>
    </row>
    <row r="1110" spans="1:22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51"/>
        <v>1</v>
      </c>
      <c r="R1110" t="str">
        <f t="shared" si="52"/>
        <v>Unique ID</v>
      </c>
      <c r="V1110" t="str">
        <f t="shared" si="53"/>
        <v>No</v>
      </c>
    </row>
    <row r="1111" spans="1:22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51"/>
        <v>1</v>
      </c>
      <c r="R1111" t="str">
        <f t="shared" si="52"/>
        <v>Unique ID</v>
      </c>
      <c r="V1111" t="str">
        <f t="shared" si="53"/>
        <v>No</v>
      </c>
    </row>
    <row r="1112" spans="1:22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51"/>
        <v>1</v>
      </c>
      <c r="R1112" t="str">
        <f t="shared" si="52"/>
        <v>Unique ID</v>
      </c>
      <c r="V1112" t="str">
        <f t="shared" si="53"/>
        <v>No</v>
      </c>
    </row>
    <row r="1113" spans="1:22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51"/>
        <v>1</v>
      </c>
      <c r="R1113" t="str">
        <f t="shared" si="52"/>
        <v>Unique ID</v>
      </c>
      <c r="V1113" t="str">
        <f t="shared" si="53"/>
        <v>No</v>
      </c>
    </row>
    <row r="1114" spans="1:22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51"/>
        <v>1</v>
      </c>
      <c r="R1114" t="str">
        <f t="shared" si="52"/>
        <v>Unique ID</v>
      </c>
      <c r="V1114" t="str">
        <f t="shared" si="53"/>
        <v>No</v>
      </c>
    </row>
    <row r="1115" spans="1:22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51"/>
        <v>1</v>
      </c>
      <c r="R1115" t="str">
        <f t="shared" si="52"/>
        <v>Unique ID</v>
      </c>
      <c r="V1115" t="str">
        <f t="shared" si="53"/>
        <v>Yes</v>
      </c>
    </row>
    <row r="1116" spans="1:22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51"/>
        <v>1</v>
      </c>
      <c r="R1116" t="str">
        <f t="shared" si="52"/>
        <v>Unique ID</v>
      </c>
      <c r="V1116" t="str">
        <f t="shared" si="53"/>
        <v>No</v>
      </c>
    </row>
    <row r="1117" spans="1:22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51"/>
        <v>1</v>
      </c>
      <c r="R1117" t="str">
        <f t="shared" si="52"/>
        <v>Unique ID</v>
      </c>
      <c r="V1117" t="str">
        <f t="shared" si="53"/>
        <v>No</v>
      </c>
    </row>
    <row r="1118" spans="1:22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51"/>
        <v>1</v>
      </c>
      <c r="R1118" t="str">
        <f t="shared" si="52"/>
        <v>Unique ID</v>
      </c>
      <c r="V1118" t="str">
        <f t="shared" si="53"/>
        <v>No</v>
      </c>
    </row>
    <row r="1119" spans="1:22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51"/>
        <v>1</v>
      </c>
      <c r="R1119" t="str">
        <f t="shared" si="52"/>
        <v>Unique ID</v>
      </c>
      <c r="V1119" t="str">
        <f t="shared" si="53"/>
        <v>No</v>
      </c>
    </row>
    <row r="1120" spans="1:22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51"/>
        <v>1</v>
      </c>
      <c r="R1120" t="str">
        <f t="shared" si="52"/>
        <v>Unique ID</v>
      </c>
      <c r="V1120" t="str">
        <f t="shared" si="53"/>
        <v>No</v>
      </c>
    </row>
    <row r="1121" spans="1:22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51"/>
        <v>1</v>
      </c>
      <c r="R1121" t="str">
        <f t="shared" si="52"/>
        <v>Unique ID</v>
      </c>
      <c r="V1121" t="str">
        <f t="shared" si="53"/>
        <v>No</v>
      </c>
    </row>
    <row r="1122" spans="1:22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51"/>
        <v>1</v>
      </c>
      <c r="R1122" t="str">
        <f t="shared" si="52"/>
        <v>Unique ID</v>
      </c>
      <c r="V1122" t="str">
        <f t="shared" si="53"/>
        <v>No</v>
      </c>
    </row>
    <row r="1123" spans="1:22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51"/>
        <v>1</v>
      </c>
      <c r="R1123" t="str">
        <f t="shared" si="52"/>
        <v>Unique ID</v>
      </c>
      <c r="V1123" t="str">
        <f t="shared" si="53"/>
        <v>No</v>
      </c>
    </row>
    <row r="1124" spans="1:22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51"/>
        <v>1</v>
      </c>
      <c r="R1124" t="str">
        <f t="shared" si="52"/>
        <v>Unique ID</v>
      </c>
      <c r="V1124" t="str">
        <f t="shared" si="53"/>
        <v>No</v>
      </c>
    </row>
    <row r="1125" spans="1:22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51"/>
        <v>1</v>
      </c>
      <c r="R1125" t="str">
        <f t="shared" si="52"/>
        <v>Unique ID</v>
      </c>
      <c r="V1125" t="str">
        <f t="shared" si="53"/>
        <v>No</v>
      </c>
    </row>
    <row r="1126" spans="1:22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51"/>
        <v>1</v>
      </c>
      <c r="R1126" t="str">
        <f t="shared" si="52"/>
        <v>Unique ID</v>
      </c>
      <c r="V1126" t="str">
        <f t="shared" si="53"/>
        <v>No</v>
      </c>
    </row>
    <row r="1127" spans="1:22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51"/>
        <v>1</v>
      </c>
      <c r="R1127" t="str">
        <f t="shared" si="52"/>
        <v>Unique ID</v>
      </c>
      <c r="V1127" t="str">
        <f t="shared" si="53"/>
        <v>No</v>
      </c>
    </row>
    <row r="1128" spans="1:22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51"/>
        <v>1</v>
      </c>
      <c r="R1128" t="str">
        <f t="shared" si="52"/>
        <v>Unique ID</v>
      </c>
      <c r="V1128" t="str">
        <f t="shared" si="53"/>
        <v>No</v>
      </c>
    </row>
    <row r="1129" spans="1:22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51"/>
        <v>1</v>
      </c>
      <c r="R1129" t="str">
        <f t="shared" si="52"/>
        <v>Unique ID</v>
      </c>
      <c r="V1129" t="str">
        <f t="shared" si="53"/>
        <v>No</v>
      </c>
    </row>
    <row r="1130" spans="1:22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51"/>
        <v>1</v>
      </c>
      <c r="R1130" t="str">
        <f t="shared" si="52"/>
        <v>Unique ID</v>
      </c>
      <c r="V1130" t="str">
        <f t="shared" si="53"/>
        <v>No</v>
      </c>
    </row>
    <row r="1131" spans="1:22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51"/>
        <v>1</v>
      </c>
      <c r="R1131" t="str">
        <f t="shared" si="52"/>
        <v>Unique ID</v>
      </c>
      <c r="V1131" t="str">
        <f t="shared" si="53"/>
        <v>No</v>
      </c>
    </row>
    <row r="1132" spans="1:22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51"/>
        <v>1</v>
      </c>
      <c r="R1132" t="str">
        <f t="shared" si="52"/>
        <v>Unique ID</v>
      </c>
      <c r="V1132" t="str">
        <f t="shared" si="53"/>
        <v>No</v>
      </c>
    </row>
    <row r="1133" spans="1:22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51"/>
        <v>1</v>
      </c>
      <c r="R1133" t="str">
        <f t="shared" si="52"/>
        <v>Unique ID</v>
      </c>
      <c r="V1133" t="str">
        <f t="shared" si="53"/>
        <v>No</v>
      </c>
    </row>
    <row r="1134" spans="1:22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51"/>
        <v>1</v>
      </c>
      <c r="R1134" t="str">
        <f t="shared" si="52"/>
        <v>Unique ID</v>
      </c>
      <c r="V1134" t="str">
        <f t="shared" si="53"/>
        <v>No</v>
      </c>
    </row>
    <row r="1135" spans="1:22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51"/>
        <v>1</v>
      </c>
      <c r="R1135" t="str">
        <f t="shared" si="52"/>
        <v>Unique ID</v>
      </c>
      <c r="V1135" t="str">
        <f t="shared" si="53"/>
        <v>No</v>
      </c>
    </row>
    <row r="1136" spans="1:22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51"/>
        <v>1</v>
      </c>
      <c r="R1136" t="str">
        <f t="shared" si="52"/>
        <v>Unique ID</v>
      </c>
      <c r="V1136" t="str">
        <f t="shared" si="53"/>
        <v>No</v>
      </c>
    </row>
    <row r="1137" spans="1:22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51"/>
        <v>1</v>
      </c>
      <c r="R1137" t="str">
        <f t="shared" si="52"/>
        <v>Unique ID</v>
      </c>
      <c r="V1137" t="str">
        <f t="shared" si="53"/>
        <v>No</v>
      </c>
    </row>
    <row r="1138" spans="1:22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51"/>
        <v>1</v>
      </c>
      <c r="R1138" t="str">
        <f t="shared" si="52"/>
        <v>Unique ID</v>
      </c>
      <c r="V1138" t="str">
        <f t="shared" si="53"/>
        <v>No</v>
      </c>
    </row>
    <row r="1139" spans="1:22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51"/>
        <v>1</v>
      </c>
      <c r="R1139" t="str">
        <f t="shared" si="52"/>
        <v>Unique ID</v>
      </c>
      <c r="V1139" t="str">
        <f t="shared" si="53"/>
        <v>No</v>
      </c>
    </row>
    <row r="1140" spans="1:22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51"/>
        <v>1</v>
      </c>
      <c r="R1140" t="str">
        <f t="shared" si="52"/>
        <v>Unique ID</v>
      </c>
      <c r="V1140" t="str">
        <f t="shared" si="53"/>
        <v>No</v>
      </c>
    </row>
    <row r="1141" spans="1:22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51"/>
        <v>1</v>
      </c>
      <c r="R1141" t="str">
        <f t="shared" si="52"/>
        <v>Unique ID</v>
      </c>
      <c r="V1141" t="str">
        <f t="shared" si="53"/>
        <v>No</v>
      </c>
    </row>
    <row r="1142" spans="1:22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51"/>
        <v>1</v>
      </c>
      <c r="R1142" t="str">
        <f t="shared" si="52"/>
        <v>Unique ID</v>
      </c>
      <c r="V1142" t="str">
        <f t="shared" si="53"/>
        <v>No</v>
      </c>
    </row>
    <row r="1143" spans="1:22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51"/>
        <v>1</v>
      </c>
      <c r="R1143" t="str">
        <f t="shared" si="52"/>
        <v>Unique ID</v>
      </c>
      <c r="V1143" t="str">
        <f t="shared" si="53"/>
        <v>Yes</v>
      </c>
    </row>
    <row r="1144" spans="1:22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51"/>
        <v>1</v>
      </c>
      <c r="R1144" t="str">
        <f t="shared" si="52"/>
        <v>Unique ID</v>
      </c>
      <c r="V1144" t="str">
        <f t="shared" si="53"/>
        <v>No</v>
      </c>
    </row>
    <row r="1145" spans="1:22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51"/>
        <v>1</v>
      </c>
      <c r="R1145" t="str">
        <f t="shared" si="52"/>
        <v>Unique ID</v>
      </c>
      <c r="V1145" t="str">
        <f t="shared" si="53"/>
        <v>No</v>
      </c>
    </row>
    <row r="1146" spans="1:22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51"/>
        <v>1</v>
      </c>
      <c r="R1146" t="str">
        <f t="shared" si="52"/>
        <v>Unique ID</v>
      </c>
      <c r="V1146" t="str">
        <f t="shared" si="53"/>
        <v>Yes</v>
      </c>
    </row>
    <row r="1147" spans="1:22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51"/>
        <v>1</v>
      </c>
      <c r="R1147" t="str">
        <f t="shared" si="52"/>
        <v>Unique ID</v>
      </c>
      <c r="V1147" t="str">
        <f t="shared" si="53"/>
        <v>No</v>
      </c>
    </row>
    <row r="1148" spans="1:22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51"/>
        <v>1</v>
      </c>
      <c r="R1148" t="str">
        <f t="shared" si="52"/>
        <v>Unique ID</v>
      </c>
      <c r="V1148" t="str">
        <f t="shared" si="53"/>
        <v>Yes</v>
      </c>
    </row>
    <row r="1149" spans="1:22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51"/>
        <v>1</v>
      </c>
      <c r="R1149" t="str">
        <f t="shared" si="52"/>
        <v>Unique ID</v>
      </c>
      <c r="V1149" t="str">
        <f t="shared" si="53"/>
        <v>No</v>
      </c>
    </row>
    <row r="1150" spans="1:22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51"/>
        <v>1</v>
      </c>
      <c r="R1150" t="str">
        <f t="shared" si="52"/>
        <v>Unique ID</v>
      </c>
      <c r="V1150" t="str">
        <f t="shared" si="53"/>
        <v>No</v>
      </c>
    </row>
    <row r="1151" spans="1:22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51"/>
        <v>1</v>
      </c>
      <c r="R1151" t="str">
        <f t="shared" si="52"/>
        <v>Unique ID</v>
      </c>
      <c r="V1151" t="str">
        <f t="shared" si="53"/>
        <v>No</v>
      </c>
    </row>
    <row r="1152" spans="1:22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51"/>
        <v>1</v>
      </c>
      <c r="R1152" t="str">
        <f t="shared" si="52"/>
        <v>Unique ID</v>
      </c>
      <c r="V1152" t="str">
        <f t="shared" si="53"/>
        <v>No</v>
      </c>
    </row>
    <row r="1153" spans="1:22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51"/>
        <v>1</v>
      </c>
      <c r="R1153" t="str">
        <f t="shared" si="52"/>
        <v>Unique ID</v>
      </c>
      <c r="V1153" t="str">
        <f t="shared" si="53"/>
        <v>No</v>
      </c>
    </row>
    <row r="1154" spans="1:22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si="51"/>
        <v>1</v>
      </c>
      <c r="R1154" t="str">
        <f t="shared" si="52"/>
        <v>Unique ID</v>
      </c>
      <c r="V1154" t="str">
        <f t="shared" si="53"/>
        <v>No</v>
      </c>
    </row>
    <row r="1155" spans="1:22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ref="Q1155:Q1218" si="54">COUNTIF($A:$A,A1155)</f>
        <v>1</v>
      </c>
      <c r="R1155" t="str">
        <f t="shared" ref="R1155:R1218" si="55">IF(Q1155&gt;1,"Duplicate ID","Unique ID")</f>
        <v>Unique ID</v>
      </c>
      <c r="V1155" t="str">
        <f t="shared" ref="V1155:V1218" si="56">IF(OR(L1155&lt;$U$5,L1155&gt;$U$6),"Yes","No")</f>
        <v>No</v>
      </c>
    </row>
    <row r="1156" spans="1:22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54"/>
        <v>1</v>
      </c>
      <c r="R1156" t="str">
        <f t="shared" si="55"/>
        <v>Unique ID</v>
      </c>
      <c r="V1156" t="str">
        <f t="shared" si="56"/>
        <v>No</v>
      </c>
    </row>
    <row r="1157" spans="1:22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54"/>
        <v>1</v>
      </c>
      <c r="R1157" t="str">
        <f t="shared" si="55"/>
        <v>Unique ID</v>
      </c>
      <c r="V1157" t="str">
        <f t="shared" si="56"/>
        <v>No</v>
      </c>
    </row>
    <row r="1158" spans="1:22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54"/>
        <v>1</v>
      </c>
      <c r="R1158" t="str">
        <f t="shared" si="55"/>
        <v>Unique ID</v>
      </c>
      <c r="V1158" t="str">
        <f t="shared" si="56"/>
        <v>No</v>
      </c>
    </row>
    <row r="1159" spans="1:22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54"/>
        <v>1</v>
      </c>
      <c r="R1159" t="str">
        <f t="shared" si="55"/>
        <v>Unique ID</v>
      </c>
      <c r="V1159" t="str">
        <f t="shared" si="56"/>
        <v>No</v>
      </c>
    </row>
    <row r="1160" spans="1:22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54"/>
        <v>1</v>
      </c>
      <c r="R1160" t="str">
        <f t="shared" si="55"/>
        <v>Unique ID</v>
      </c>
      <c r="V1160" t="str">
        <f t="shared" si="56"/>
        <v>No</v>
      </c>
    </row>
    <row r="1161" spans="1:22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54"/>
        <v>1</v>
      </c>
      <c r="R1161" t="str">
        <f t="shared" si="55"/>
        <v>Unique ID</v>
      </c>
      <c r="V1161" t="str">
        <f t="shared" si="56"/>
        <v>No</v>
      </c>
    </row>
    <row r="1162" spans="1:22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54"/>
        <v>1</v>
      </c>
      <c r="R1162" t="str">
        <f t="shared" si="55"/>
        <v>Unique ID</v>
      </c>
      <c r="V1162" t="str">
        <f t="shared" si="56"/>
        <v>No</v>
      </c>
    </row>
    <row r="1163" spans="1:22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54"/>
        <v>1</v>
      </c>
      <c r="R1163" t="str">
        <f t="shared" si="55"/>
        <v>Unique ID</v>
      </c>
      <c r="V1163" t="str">
        <f t="shared" si="56"/>
        <v>No</v>
      </c>
    </row>
    <row r="1164" spans="1:22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54"/>
        <v>1</v>
      </c>
      <c r="R1164" t="str">
        <f t="shared" si="55"/>
        <v>Unique ID</v>
      </c>
      <c r="V1164" t="str">
        <f t="shared" si="56"/>
        <v>No</v>
      </c>
    </row>
    <row r="1165" spans="1:22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54"/>
        <v>1</v>
      </c>
      <c r="R1165" t="str">
        <f t="shared" si="55"/>
        <v>Unique ID</v>
      </c>
      <c r="V1165" t="str">
        <f t="shared" si="56"/>
        <v>No</v>
      </c>
    </row>
    <row r="1166" spans="1:22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54"/>
        <v>1</v>
      </c>
      <c r="R1166" t="str">
        <f t="shared" si="55"/>
        <v>Unique ID</v>
      </c>
      <c r="V1166" t="str">
        <f t="shared" si="56"/>
        <v>No</v>
      </c>
    </row>
    <row r="1167" spans="1:22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54"/>
        <v>1</v>
      </c>
      <c r="R1167" t="str">
        <f t="shared" si="55"/>
        <v>Unique ID</v>
      </c>
      <c r="V1167" t="str">
        <f t="shared" si="56"/>
        <v>No</v>
      </c>
    </row>
    <row r="1168" spans="1:22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54"/>
        <v>1</v>
      </c>
      <c r="R1168" t="str">
        <f t="shared" si="55"/>
        <v>Unique ID</v>
      </c>
      <c r="V1168" t="str">
        <f t="shared" si="56"/>
        <v>No</v>
      </c>
    </row>
    <row r="1169" spans="1:22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54"/>
        <v>1</v>
      </c>
      <c r="R1169" t="str">
        <f t="shared" si="55"/>
        <v>Unique ID</v>
      </c>
      <c r="V1169" t="str">
        <f t="shared" si="56"/>
        <v>Yes</v>
      </c>
    </row>
    <row r="1170" spans="1:22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54"/>
        <v>1</v>
      </c>
      <c r="R1170" t="str">
        <f t="shared" si="55"/>
        <v>Unique ID</v>
      </c>
      <c r="V1170" t="str">
        <f t="shared" si="56"/>
        <v>No</v>
      </c>
    </row>
    <row r="1171" spans="1:22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54"/>
        <v>1</v>
      </c>
      <c r="R1171" t="str">
        <f t="shared" si="55"/>
        <v>Unique ID</v>
      </c>
      <c r="V1171" t="str">
        <f t="shared" si="56"/>
        <v>No</v>
      </c>
    </row>
    <row r="1172" spans="1:22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54"/>
        <v>1</v>
      </c>
      <c r="R1172" t="str">
        <f t="shared" si="55"/>
        <v>Unique ID</v>
      </c>
      <c r="V1172" t="str">
        <f t="shared" si="56"/>
        <v>No</v>
      </c>
    </row>
    <row r="1173" spans="1:22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54"/>
        <v>1</v>
      </c>
      <c r="R1173" t="str">
        <f t="shared" si="55"/>
        <v>Unique ID</v>
      </c>
      <c r="V1173" t="str">
        <f t="shared" si="56"/>
        <v>No</v>
      </c>
    </row>
    <row r="1174" spans="1:22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54"/>
        <v>1</v>
      </c>
      <c r="R1174" t="str">
        <f t="shared" si="55"/>
        <v>Unique ID</v>
      </c>
      <c r="V1174" t="str">
        <f t="shared" si="56"/>
        <v>No</v>
      </c>
    </row>
    <row r="1175" spans="1:22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54"/>
        <v>1</v>
      </c>
      <c r="R1175" t="str">
        <f t="shared" si="55"/>
        <v>Unique ID</v>
      </c>
      <c r="V1175" t="str">
        <f t="shared" si="56"/>
        <v>No</v>
      </c>
    </row>
    <row r="1176" spans="1:22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54"/>
        <v>1</v>
      </c>
      <c r="R1176" t="str">
        <f t="shared" si="55"/>
        <v>Unique ID</v>
      </c>
      <c r="V1176" t="str">
        <f t="shared" si="56"/>
        <v>No</v>
      </c>
    </row>
    <row r="1177" spans="1:22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54"/>
        <v>1</v>
      </c>
      <c r="R1177" t="str">
        <f t="shared" si="55"/>
        <v>Unique ID</v>
      </c>
      <c r="V1177" t="str">
        <f t="shared" si="56"/>
        <v>No</v>
      </c>
    </row>
    <row r="1178" spans="1:22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54"/>
        <v>1</v>
      </c>
      <c r="R1178" t="str">
        <f t="shared" si="55"/>
        <v>Unique ID</v>
      </c>
      <c r="V1178" t="str">
        <f t="shared" si="56"/>
        <v>No</v>
      </c>
    </row>
    <row r="1179" spans="1:22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54"/>
        <v>1</v>
      </c>
      <c r="R1179" t="str">
        <f t="shared" si="55"/>
        <v>Unique ID</v>
      </c>
      <c r="V1179" t="str">
        <f t="shared" si="56"/>
        <v>No</v>
      </c>
    </row>
    <row r="1180" spans="1:22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54"/>
        <v>1</v>
      </c>
      <c r="R1180" t="str">
        <f t="shared" si="55"/>
        <v>Unique ID</v>
      </c>
      <c r="V1180" t="str">
        <f t="shared" si="56"/>
        <v>Yes</v>
      </c>
    </row>
    <row r="1181" spans="1:22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54"/>
        <v>1</v>
      </c>
      <c r="R1181" t="str">
        <f t="shared" si="55"/>
        <v>Unique ID</v>
      </c>
      <c r="V1181" t="str">
        <f t="shared" si="56"/>
        <v>No</v>
      </c>
    </row>
    <row r="1182" spans="1:22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54"/>
        <v>1</v>
      </c>
      <c r="R1182" t="str">
        <f t="shared" si="55"/>
        <v>Unique ID</v>
      </c>
      <c r="V1182" t="str">
        <f t="shared" si="56"/>
        <v>No</v>
      </c>
    </row>
    <row r="1183" spans="1:22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54"/>
        <v>1</v>
      </c>
      <c r="R1183" t="str">
        <f t="shared" si="55"/>
        <v>Unique ID</v>
      </c>
      <c r="V1183" t="str">
        <f t="shared" si="56"/>
        <v>No</v>
      </c>
    </row>
    <row r="1184" spans="1:22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54"/>
        <v>1</v>
      </c>
      <c r="R1184" t="str">
        <f t="shared" si="55"/>
        <v>Unique ID</v>
      </c>
      <c r="V1184" t="str">
        <f t="shared" si="56"/>
        <v>No</v>
      </c>
    </row>
    <row r="1185" spans="1:22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54"/>
        <v>1</v>
      </c>
      <c r="R1185" t="str">
        <f t="shared" si="55"/>
        <v>Unique ID</v>
      </c>
      <c r="V1185" t="str">
        <f t="shared" si="56"/>
        <v>No</v>
      </c>
    </row>
    <row r="1186" spans="1:22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54"/>
        <v>1</v>
      </c>
      <c r="R1186" t="str">
        <f t="shared" si="55"/>
        <v>Unique ID</v>
      </c>
      <c r="V1186" t="str">
        <f t="shared" si="56"/>
        <v>No</v>
      </c>
    </row>
    <row r="1187" spans="1:22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54"/>
        <v>1</v>
      </c>
      <c r="R1187" t="str">
        <f t="shared" si="55"/>
        <v>Unique ID</v>
      </c>
      <c r="V1187" t="str">
        <f t="shared" si="56"/>
        <v>No</v>
      </c>
    </row>
    <row r="1188" spans="1:22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54"/>
        <v>1</v>
      </c>
      <c r="R1188" t="str">
        <f t="shared" si="55"/>
        <v>Unique ID</v>
      </c>
      <c r="V1188" t="str">
        <f t="shared" si="56"/>
        <v>No</v>
      </c>
    </row>
    <row r="1189" spans="1:22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54"/>
        <v>1</v>
      </c>
      <c r="R1189" t="str">
        <f t="shared" si="55"/>
        <v>Unique ID</v>
      </c>
      <c r="V1189" t="str">
        <f t="shared" si="56"/>
        <v>No</v>
      </c>
    </row>
    <row r="1190" spans="1:22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54"/>
        <v>1</v>
      </c>
      <c r="R1190" t="str">
        <f t="shared" si="55"/>
        <v>Unique ID</v>
      </c>
      <c r="V1190" t="str">
        <f t="shared" si="56"/>
        <v>No</v>
      </c>
    </row>
    <row r="1191" spans="1:22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54"/>
        <v>1</v>
      </c>
      <c r="R1191" t="str">
        <f t="shared" si="55"/>
        <v>Unique ID</v>
      </c>
      <c r="V1191" t="str">
        <f t="shared" si="56"/>
        <v>No</v>
      </c>
    </row>
    <row r="1192" spans="1:22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54"/>
        <v>1</v>
      </c>
      <c r="R1192" t="str">
        <f t="shared" si="55"/>
        <v>Unique ID</v>
      </c>
      <c r="V1192" t="str">
        <f t="shared" si="56"/>
        <v>No</v>
      </c>
    </row>
    <row r="1193" spans="1:22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54"/>
        <v>1</v>
      </c>
      <c r="R1193" t="str">
        <f t="shared" si="55"/>
        <v>Unique ID</v>
      </c>
      <c r="V1193" t="str">
        <f t="shared" si="56"/>
        <v>No</v>
      </c>
    </row>
    <row r="1194" spans="1:22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54"/>
        <v>1</v>
      </c>
      <c r="R1194" t="str">
        <f t="shared" si="55"/>
        <v>Unique ID</v>
      </c>
      <c r="V1194" t="str">
        <f t="shared" si="56"/>
        <v>No</v>
      </c>
    </row>
    <row r="1195" spans="1:22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54"/>
        <v>1</v>
      </c>
      <c r="R1195" t="str">
        <f t="shared" si="55"/>
        <v>Unique ID</v>
      </c>
      <c r="V1195" t="str">
        <f t="shared" si="56"/>
        <v>No</v>
      </c>
    </row>
    <row r="1196" spans="1:22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54"/>
        <v>1</v>
      </c>
      <c r="R1196" t="str">
        <f t="shared" si="55"/>
        <v>Unique ID</v>
      </c>
      <c r="V1196" t="str">
        <f t="shared" si="56"/>
        <v>No</v>
      </c>
    </row>
    <row r="1197" spans="1:22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54"/>
        <v>1</v>
      </c>
      <c r="R1197" t="str">
        <f t="shared" si="55"/>
        <v>Unique ID</v>
      </c>
      <c r="V1197" t="str">
        <f t="shared" si="56"/>
        <v>No</v>
      </c>
    </row>
    <row r="1198" spans="1:22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54"/>
        <v>1</v>
      </c>
      <c r="R1198" t="str">
        <f t="shared" si="55"/>
        <v>Unique ID</v>
      </c>
      <c r="V1198" t="str">
        <f t="shared" si="56"/>
        <v>No</v>
      </c>
    </row>
    <row r="1199" spans="1:22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54"/>
        <v>1</v>
      </c>
      <c r="R1199" t="str">
        <f t="shared" si="55"/>
        <v>Unique ID</v>
      </c>
      <c r="V1199" t="str">
        <f t="shared" si="56"/>
        <v>No</v>
      </c>
    </row>
    <row r="1200" spans="1:22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54"/>
        <v>1</v>
      </c>
      <c r="R1200" t="str">
        <f t="shared" si="55"/>
        <v>Unique ID</v>
      </c>
      <c r="V1200" t="str">
        <f t="shared" si="56"/>
        <v>No</v>
      </c>
    </row>
    <row r="1201" spans="1:22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54"/>
        <v>1</v>
      </c>
      <c r="R1201" t="str">
        <f t="shared" si="55"/>
        <v>Unique ID</v>
      </c>
      <c r="V1201" t="str">
        <f t="shared" si="56"/>
        <v>No</v>
      </c>
    </row>
    <row r="1202" spans="1:22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54"/>
        <v>1</v>
      </c>
      <c r="R1202" t="str">
        <f t="shared" si="55"/>
        <v>Unique ID</v>
      </c>
      <c r="V1202" t="str">
        <f t="shared" si="56"/>
        <v>No</v>
      </c>
    </row>
    <row r="1203" spans="1:22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54"/>
        <v>1</v>
      </c>
      <c r="R1203" t="str">
        <f t="shared" si="55"/>
        <v>Unique ID</v>
      </c>
      <c r="V1203" t="str">
        <f t="shared" si="56"/>
        <v>No</v>
      </c>
    </row>
    <row r="1204" spans="1:22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54"/>
        <v>1</v>
      </c>
      <c r="R1204" t="str">
        <f t="shared" si="55"/>
        <v>Unique ID</v>
      </c>
      <c r="V1204" t="str">
        <f t="shared" si="56"/>
        <v>No</v>
      </c>
    </row>
    <row r="1205" spans="1:22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54"/>
        <v>1</v>
      </c>
      <c r="R1205" t="str">
        <f t="shared" si="55"/>
        <v>Unique ID</v>
      </c>
      <c r="V1205" t="str">
        <f t="shared" si="56"/>
        <v>No</v>
      </c>
    </row>
    <row r="1206" spans="1:22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54"/>
        <v>1</v>
      </c>
      <c r="R1206" t="str">
        <f t="shared" si="55"/>
        <v>Unique ID</v>
      </c>
      <c r="V1206" t="str">
        <f t="shared" si="56"/>
        <v>No</v>
      </c>
    </row>
    <row r="1207" spans="1:22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54"/>
        <v>1</v>
      </c>
      <c r="R1207" t="str">
        <f t="shared" si="55"/>
        <v>Unique ID</v>
      </c>
      <c r="V1207" t="str">
        <f t="shared" si="56"/>
        <v>No</v>
      </c>
    </row>
    <row r="1208" spans="1:22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54"/>
        <v>1</v>
      </c>
      <c r="R1208" t="str">
        <f t="shared" si="55"/>
        <v>Unique ID</v>
      </c>
      <c r="V1208" t="str">
        <f t="shared" si="56"/>
        <v>No</v>
      </c>
    </row>
    <row r="1209" spans="1:22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54"/>
        <v>1</v>
      </c>
      <c r="R1209" t="str">
        <f t="shared" si="55"/>
        <v>Unique ID</v>
      </c>
      <c r="V1209" t="str">
        <f t="shared" si="56"/>
        <v>No</v>
      </c>
    </row>
    <row r="1210" spans="1:22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54"/>
        <v>1</v>
      </c>
      <c r="R1210" t="str">
        <f t="shared" si="55"/>
        <v>Unique ID</v>
      </c>
      <c r="V1210" t="str">
        <f t="shared" si="56"/>
        <v>No</v>
      </c>
    </row>
    <row r="1211" spans="1:22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54"/>
        <v>2</v>
      </c>
      <c r="R1211" t="str">
        <f t="shared" si="55"/>
        <v>Duplicate ID</v>
      </c>
      <c r="V1211" t="str">
        <f t="shared" si="56"/>
        <v>No</v>
      </c>
    </row>
    <row r="1212" spans="1:22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54"/>
        <v>1</v>
      </c>
      <c r="R1212" t="str">
        <f t="shared" si="55"/>
        <v>Unique ID</v>
      </c>
      <c r="V1212" t="str">
        <f t="shared" si="56"/>
        <v>No</v>
      </c>
    </row>
    <row r="1213" spans="1:22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54"/>
        <v>1</v>
      </c>
      <c r="R1213" t="str">
        <f t="shared" si="55"/>
        <v>Unique ID</v>
      </c>
      <c r="V1213" t="str">
        <f t="shared" si="56"/>
        <v>No</v>
      </c>
    </row>
    <row r="1214" spans="1:22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54"/>
        <v>1</v>
      </c>
      <c r="R1214" t="str">
        <f t="shared" si="55"/>
        <v>Unique ID</v>
      </c>
      <c r="V1214" t="str">
        <f t="shared" si="56"/>
        <v>No</v>
      </c>
    </row>
    <row r="1215" spans="1:22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54"/>
        <v>1</v>
      </c>
      <c r="R1215" t="str">
        <f t="shared" si="55"/>
        <v>Unique ID</v>
      </c>
      <c r="V1215" t="str">
        <f t="shared" si="56"/>
        <v>No</v>
      </c>
    </row>
    <row r="1216" spans="1:22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54"/>
        <v>1</v>
      </c>
      <c r="R1216" t="str">
        <f t="shared" si="55"/>
        <v>Unique ID</v>
      </c>
      <c r="V1216" t="str">
        <f t="shared" si="56"/>
        <v>No</v>
      </c>
    </row>
    <row r="1217" spans="1:22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54"/>
        <v>1</v>
      </c>
      <c r="R1217" t="str">
        <f t="shared" si="55"/>
        <v>Unique ID</v>
      </c>
      <c r="V1217" t="str">
        <f t="shared" si="56"/>
        <v>No</v>
      </c>
    </row>
    <row r="1218" spans="1:22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si="54"/>
        <v>1</v>
      </c>
      <c r="R1218" t="str">
        <f t="shared" si="55"/>
        <v>Unique ID</v>
      </c>
      <c r="V1218" t="str">
        <f t="shared" si="56"/>
        <v>No</v>
      </c>
    </row>
    <row r="1219" spans="1:22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ref="Q1219:Q1282" si="57">COUNTIF($A:$A,A1219)</f>
        <v>1</v>
      </c>
      <c r="R1219" t="str">
        <f t="shared" ref="R1219:R1282" si="58">IF(Q1219&gt;1,"Duplicate ID","Unique ID")</f>
        <v>Unique ID</v>
      </c>
      <c r="V1219" t="str">
        <f t="shared" ref="V1219:V1282" si="59">IF(OR(L1219&lt;$U$5,L1219&gt;$U$6),"Yes","No")</f>
        <v>No</v>
      </c>
    </row>
    <row r="1220" spans="1:22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57"/>
        <v>1</v>
      </c>
      <c r="R1220" t="str">
        <f t="shared" si="58"/>
        <v>Unique ID</v>
      </c>
      <c r="V1220" t="str">
        <f t="shared" si="59"/>
        <v>No</v>
      </c>
    </row>
    <row r="1221" spans="1:22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57"/>
        <v>1</v>
      </c>
      <c r="R1221" t="str">
        <f t="shared" si="58"/>
        <v>Unique ID</v>
      </c>
      <c r="V1221" t="str">
        <f t="shared" si="59"/>
        <v>No</v>
      </c>
    </row>
    <row r="1222" spans="1:22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57"/>
        <v>1</v>
      </c>
      <c r="R1222" t="str">
        <f t="shared" si="58"/>
        <v>Unique ID</v>
      </c>
      <c r="V1222" t="str">
        <f t="shared" si="59"/>
        <v>Yes</v>
      </c>
    </row>
    <row r="1223" spans="1:22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57"/>
        <v>1</v>
      </c>
      <c r="R1223" t="str">
        <f t="shared" si="58"/>
        <v>Unique ID</v>
      </c>
      <c r="V1223" t="str">
        <f t="shared" si="59"/>
        <v>Yes</v>
      </c>
    </row>
    <row r="1224" spans="1:22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57"/>
        <v>1</v>
      </c>
      <c r="R1224" t="str">
        <f t="shared" si="58"/>
        <v>Unique ID</v>
      </c>
      <c r="V1224" t="str">
        <f t="shared" si="59"/>
        <v>No</v>
      </c>
    </row>
    <row r="1225" spans="1:22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57"/>
        <v>1</v>
      </c>
      <c r="R1225" t="str">
        <f t="shared" si="58"/>
        <v>Unique ID</v>
      </c>
      <c r="V1225" t="str">
        <f t="shared" si="59"/>
        <v>No</v>
      </c>
    </row>
    <row r="1226" spans="1:22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57"/>
        <v>1</v>
      </c>
      <c r="R1226" t="str">
        <f t="shared" si="58"/>
        <v>Unique ID</v>
      </c>
      <c r="V1226" t="str">
        <f t="shared" si="59"/>
        <v>No</v>
      </c>
    </row>
    <row r="1227" spans="1:22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57"/>
        <v>1</v>
      </c>
      <c r="R1227" t="str">
        <f t="shared" si="58"/>
        <v>Unique ID</v>
      </c>
      <c r="V1227" t="str">
        <f t="shared" si="59"/>
        <v>Yes</v>
      </c>
    </row>
    <row r="1228" spans="1:22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57"/>
        <v>1</v>
      </c>
      <c r="R1228" t="str">
        <f t="shared" si="58"/>
        <v>Unique ID</v>
      </c>
      <c r="V1228" t="str">
        <f t="shared" si="59"/>
        <v>No</v>
      </c>
    </row>
    <row r="1229" spans="1:22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57"/>
        <v>1</v>
      </c>
      <c r="R1229" t="str">
        <f t="shared" si="58"/>
        <v>Unique ID</v>
      </c>
      <c r="V1229" t="str">
        <f t="shared" si="59"/>
        <v>No</v>
      </c>
    </row>
    <row r="1230" spans="1:22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57"/>
        <v>1</v>
      </c>
      <c r="R1230" t="str">
        <f t="shared" si="58"/>
        <v>Unique ID</v>
      </c>
      <c r="V1230" t="str">
        <f t="shared" si="59"/>
        <v>No</v>
      </c>
    </row>
    <row r="1231" spans="1:22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57"/>
        <v>1</v>
      </c>
      <c r="R1231" t="str">
        <f t="shared" si="58"/>
        <v>Unique ID</v>
      </c>
      <c r="V1231" t="str">
        <f t="shared" si="59"/>
        <v>No</v>
      </c>
    </row>
    <row r="1232" spans="1:22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57"/>
        <v>1</v>
      </c>
      <c r="R1232" t="str">
        <f t="shared" si="58"/>
        <v>Unique ID</v>
      </c>
      <c r="V1232" t="str">
        <f t="shared" si="59"/>
        <v>No</v>
      </c>
    </row>
    <row r="1233" spans="1:22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57"/>
        <v>2</v>
      </c>
      <c r="R1233" t="str">
        <f t="shared" si="58"/>
        <v>Duplicate ID</v>
      </c>
      <c r="V1233" t="str">
        <f t="shared" si="59"/>
        <v>No</v>
      </c>
    </row>
    <row r="1234" spans="1:22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57"/>
        <v>1</v>
      </c>
      <c r="R1234" t="str">
        <f t="shared" si="58"/>
        <v>Unique ID</v>
      </c>
      <c r="V1234" t="str">
        <f t="shared" si="59"/>
        <v>No</v>
      </c>
    </row>
    <row r="1235" spans="1:22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57"/>
        <v>1</v>
      </c>
      <c r="R1235" t="str">
        <f t="shared" si="58"/>
        <v>Unique ID</v>
      </c>
      <c r="V1235" t="str">
        <f t="shared" si="59"/>
        <v>No</v>
      </c>
    </row>
    <row r="1236" spans="1:22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57"/>
        <v>1</v>
      </c>
      <c r="R1236" t="str">
        <f t="shared" si="58"/>
        <v>Unique ID</v>
      </c>
      <c r="V1236" t="str">
        <f t="shared" si="59"/>
        <v>No</v>
      </c>
    </row>
    <row r="1237" spans="1:22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57"/>
        <v>1</v>
      </c>
      <c r="R1237" t="str">
        <f t="shared" si="58"/>
        <v>Unique ID</v>
      </c>
      <c r="V1237" t="str">
        <f t="shared" si="59"/>
        <v>No</v>
      </c>
    </row>
    <row r="1238" spans="1:22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57"/>
        <v>1</v>
      </c>
      <c r="R1238" t="str">
        <f t="shared" si="58"/>
        <v>Unique ID</v>
      </c>
      <c r="V1238" t="str">
        <f t="shared" si="59"/>
        <v>Yes</v>
      </c>
    </row>
    <row r="1239" spans="1:22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57"/>
        <v>1</v>
      </c>
      <c r="R1239" t="str">
        <f t="shared" si="58"/>
        <v>Unique ID</v>
      </c>
      <c r="V1239" t="str">
        <f t="shared" si="59"/>
        <v>No</v>
      </c>
    </row>
    <row r="1240" spans="1:22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57"/>
        <v>1</v>
      </c>
      <c r="R1240" t="str">
        <f t="shared" si="58"/>
        <v>Unique ID</v>
      </c>
      <c r="V1240" t="str">
        <f t="shared" si="59"/>
        <v>No</v>
      </c>
    </row>
    <row r="1241" spans="1:22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57"/>
        <v>1</v>
      </c>
      <c r="R1241" t="str">
        <f t="shared" si="58"/>
        <v>Unique ID</v>
      </c>
      <c r="V1241" t="str">
        <f t="shared" si="59"/>
        <v>No</v>
      </c>
    </row>
    <row r="1242" spans="1:22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57"/>
        <v>1</v>
      </c>
      <c r="R1242" t="str">
        <f t="shared" si="58"/>
        <v>Unique ID</v>
      </c>
      <c r="V1242" t="str">
        <f t="shared" si="59"/>
        <v>No</v>
      </c>
    </row>
    <row r="1243" spans="1:22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57"/>
        <v>1</v>
      </c>
      <c r="R1243" t="str">
        <f t="shared" si="58"/>
        <v>Unique ID</v>
      </c>
      <c r="V1243" t="str">
        <f t="shared" si="59"/>
        <v>No</v>
      </c>
    </row>
    <row r="1244" spans="1:22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57"/>
        <v>1</v>
      </c>
      <c r="R1244" t="str">
        <f t="shared" si="58"/>
        <v>Unique ID</v>
      </c>
      <c r="V1244" t="str">
        <f t="shared" si="59"/>
        <v>No</v>
      </c>
    </row>
    <row r="1245" spans="1:22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57"/>
        <v>1</v>
      </c>
      <c r="R1245" t="str">
        <f t="shared" si="58"/>
        <v>Unique ID</v>
      </c>
      <c r="V1245" t="str">
        <f t="shared" si="59"/>
        <v>No</v>
      </c>
    </row>
    <row r="1246" spans="1:22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57"/>
        <v>1</v>
      </c>
      <c r="R1246" t="str">
        <f t="shared" si="58"/>
        <v>Unique ID</v>
      </c>
      <c r="V1246" t="str">
        <f t="shared" si="59"/>
        <v>No</v>
      </c>
    </row>
    <row r="1247" spans="1:22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57"/>
        <v>1</v>
      </c>
      <c r="R1247" t="str">
        <f t="shared" si="58"/>
        <v>Unique ID</v>
      </c>
      <c r="V1247" t="str">
        <f t="shared" si="59"/>
        <v>No</v>
      </c>
    </row>
    <row r="1248" spans="1:22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57"/>
        <v>1</v>
      </c>
      <c r="R1248" t="str">
        <f t="shared" si="58"/>
        <v>Unique ID</v>
      </c>
      <c r="V1248" t="str">
        <f t="shared" si="59"/>
        <v>No</v>
      </c>
    </row>
    <row r="1249" spans="1:22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57"/>
        <v>1</v>
      </c>
      <c r="R1249" t="str">
        <f t="shared" si="58"/>
        <v>Unique ID</v>
      </c>
      <c r="V1249" t="str">
        <f t="shared" si="59"/>
        <v>No</v>
      </c>
    </row>
    <row r="1250" spans="1:22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57"/>
        <v>1</v>
      </c>
      <c r="R1250" t="str">
        <f t="shared" si="58"/>
        <v>Unique ID</v>
      </c>
      <c r="V1250" t="str">
        <f t="shared" si="59"/>
        <v>No</v>
      </c>
    </row>
    <row r="1251" spans="1:22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57"/>
        <v>1</v>
      </c>
      <c r="R1251" t="str">
        <f t="shared" si="58"/>
        <v>Unique ID</v>
      </c>
      <c r="V1251" t="str">
        <f t="shared" si="59"/>
        <v>No</v>
      </c>
    </row>
    <row r="1252" spans="1:22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57"/>
        <v>1</v>
      </c>
      <c r="R1252" t="str">
        <f t="shared" si="58"/>
        <v>Unique ID</v>
      </c>
      <c r="V1252" t="str">
        <f t="shared" si="59"/>
        <v>Yes</v>
      </c>
    </row>
    <row r="1253" spans="1:22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57"/>
        <v>1</v>
      </c>
      <c r="R1253" t="str">
        <f t="shared" si="58"/>
        <v>Unique ID</v>
      </c>
      <c r="V1253" t="str">
        <f t="shared" si="59"/>
        <v>No</v>
      </c>
    </row>
    <row r="1254" spans="1:22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57"/>
        <v>1</v>
      </c>
      <c r="R1254" t="str">
        <f t="shared" si="58"/>
        <v>Unique ID</v>
      </c>
      <c r="V1254" t="str">
        <f t="shared" si="59"/>
        <v>No</v>
      </c>
    </row>
    <row r="1255" spans="1:22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57"/>
        <v>1</v>
      </c>
      <c r="R1255" t="str">
        <f t="shared" si="58"/>
        <v>Unique ID</v>
      </c>
      <c r="V1255" t="str">
        <f t="shared" si="59"/>
        <v>No</v>
      </c>
    </row>
    <row r="1256" spans="1:22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57"/>
        <v>1</v>
      </c>
      <c r="R1256" t="str">
        <f t="shared" si="58"/>
        <v>Unique ID</v>
      </c>
      <c r="V1256" t="str">
        <f t="shared" si="59"/>
        <v>No</v>
      </c>
    </row>
    <row r="1257" spans="1:22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57"/>
        <v>1</v>
      </c>
      <c r="R1257" t="str">
        <f t="shared" si="58"/>
        <v>Unique ID</v>
      </c>
      <c r="V1257" t="str">
        <f t="shared" si="59"/>
        <v>Yes</v>
      </c>
    </row>
    <row r="1258" spans="1:22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57"/>
        <v>1</v>
      </c>
      <c r="R1258" t="str">
        <f t="shared" si="58"/>
        <v>Unique ID</v>
      </c>
      <c r="V1258" t="str">
        <f t="shared" si="59"/>
        <v>No</v>
      </c>
    </row>
    <row r="1259" spans="1:22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57"/>
        <v>1</v>
      </c>
      <c r="R1259" t="str">
        <f t="shared" si="58"/>
        <v>Unique ID</v>
      </c>
      <c r="V1259" t="str">
        <f t="shared" si="59"/>
        <v>No</v>
      </c>
    </row>
    <row r="1260" spans="1:22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57"/>
        <v>1</v>
      </c>
      <c r="R1260" t="str">
        <f t="shared" si="58"/>
        <v>Unique ID</v>
      </c>
      <c r="V1260" t="str">
        <f t="shared" si="59"/>
        <v>No</v>
      </c>
    </row>
    <row r="1261" spans="1:22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57"/>
        <v>1</v>
      </c>
      <c r="R1261" t="str">
        <f t="shared" si="58"/>
        <v>Unique ID</v>
      </c>
      <c r="V1261" t="str">
        <f t="shared" si="59"/>
        <v>No</v>
      </c>
    </row>
    <row r="1262" spans="1:22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57"/>
        <v>1</v>
      </c>
      <c r="R1262" t="str">
        <f t="shared" si="58"/>
        <v>Unique ID</v>
      </c>
      <c r="V1262" t="str">
        <f t="shared" si="59"/>
        <v>No</v>
      </c>
    </row>
    <row r="1263" spans="1:22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57"/>
        <v>1</v>
      </c>
      <c r="R1263" t="str">
        <f t="shared" si="58"/>
        <v>Unique ID</v>
      </c>
      <c r="V1263" t="str">
        <f t="shared" si="59"/>
        <v>No</v>
      </c>
    </row>
    <row r="1264" spans="1:22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57"/>
        <v>1</v>
      </c>
      <c r="R1264" t="str">
        <f t="shared" si="58"/>
        <v>Unique ID</v>
      </c>
      <c r="V1264" t="str">
        <f t="shared" si="59"/>
        <v>No</v>
      </c>
    </row>
    <row r="1265" spans="1:22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57"/>
        <v>1</v>
      </c>
      <c r="R1265" t="str">
        <f t="shared" si="58"/>
        <v>Unique ID</v>
      </c>
      <c r="V1265" t="str">
        <f t="shared" si="59"/>
        <v>No</v>
      </c>
    </row>
    <row r="1266" spans="1:22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57"/>
        <v>1</v>
      </c>
      <c r="R1266" t="str">
        <f t="shared" si="58"/>
        <v>Unique ID</v>
      </c>
      <c r="V1266" t="str">
        <f t="shared" si="59"/>
        <v>No</v>
      </c>
    </row>
    <row r="1267" spans="1:22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57"/>
        <v>1</v>
      </c>
      <c r="R1267" t="str">
        <f t="shared" si="58"/>
        <v>Unique ID</v>
      </c>
      <c r="V1267" t="str">
        <f t="shared" si="59"/>
        <v>No</v>
      </c>
    </row>
    <row r="1268" spans="1:22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57"/>
        <v>1</v>
      </c>
      <c r="R1268" t="str">
        <f t="shared" si="58"/>
        <v>Unique ID</v>
      </c>
      <c r="V1268" t="str">
        <f t="shared" si="59"/>
        <v>No</v>
      </c>
    </row>
    <row r="1269" spans="1:22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57"/>
        <v>1</v>
      </c>
      <c r="R1269" t="str">
        <f t="shared" si="58"/>
        <v>Unique ID</v>
      </c>
      <c r="V1269" t="str">
        <f t="shared" si="59"/>
        <v>No</v>
      </c>
    </row>
    <row r="1270" spans="1:22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57"/>
        <v>1</v>
      </c>
      <c r="R1270" t="str">
        <f t="shared" si="58"/>
        <v>Unique ID</v>
      </c>
      <c r="V1270" t="str">
        <f t="shared" si="59"/>
        <v>No</v>
      </c>
    </row>
    <row r="1271" spans="1:22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57"/>
        <v>1</v>
      </c>
      <c r="R1271" t="str">
        <f t="shared" si="58"/>
        <v>Unique ID</v>
      </c>
      <c r="V1271" t="str">
        <f t="shared" si="59"/>
        <v>No</v>
      </c>
    </row>
    <row r="1272" spans="1:22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57"/>
        <v>1</v>
      </c>
      <c r="R1272" t="str">
        <f t="shared" si="58"/>
        <v>Unique ID</v>
      </c>
      <c r="V1272" t="str">
        <f t="shared" si="59"/>
        <v>No</v>
      </c>
    </row>
    <row r="1273" spans="1:22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57"/>
        <v>1</v>
      </c>
      <c r="R1273" t="str">
        <f t="shared" si="58"/>
        <v>Unique ID</v>
      </c>
      <c r="V1273" t="str">
        <f t="shared" si="59"/>
        <v>No</v>
      </c>
    </row>
    <row r="1274" spans="1:22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57"/>
        <v>1</v>
      </c>
      <c r="R1274" t="str">
        <f t="shared" si="58"/>
        <v>Unique ID</v>
      </c>
      <c r="V1274" t="str">
        <f t="shared" si="59"/>
        <v>No</v>
      </c>
    </row>
    <row r="1275" spans="1:22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57"/>
        <v>1</v>
      </c>
      <c r="R1275" t="str">
        <f t="shared" si="58"/>
        <v>Unique ID</v>
      </c>
      <c r="V1275" t="str">
        <f t="shared" si="59"/>
        <v>No</v>
      </c>
    </row>
    <row r="1276" spans="1:22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57"/>
        <v>1</v>
      </c>
      <c r="R1276" t="str">
        <f t="shared" si="58"/>
        <v>Unique ID</v>
      </c>
      <c r="V1276" t="str">
        <f t="shared" si="59"/>
        <v>No</v>
      </c>
    </row>
    <row r="1277" spans="1:22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57"/>
        <v>1</v>
      </c>
      <c r="R1277" t="str">
        <f t="shared" si="58"/>
        <v>Unique ID</v>
      </c>
      <c r="V1277" t="str">
        <f t="shared" si="59"/>
        <v>No</v>
      </c>
    </row>
    <row r="1278" spans="1:22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57"/>
        <v>1</v>
      </c>
      <c r="R1278" t="str">
        <f t="shared" si="58"/>
        <v>Unique ID</v>
      </c>
      <c r="V1278" t="str">
        <f t="shared" si="59"/>
        <v>No</v>
      </c>
    </row>
    <row r="1279" spans="1:22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57"/>
        <v>1</v>
      </c>
      <c r="R1279" t="str">
        <f t="shared" si="58"/>
        <v>Unique ID</v>
      </c>
      <c r="V1279" t="str">
        <f t="shared" si="59"/>
        <v>No</v>
      </c>
    </row>
    <row r="1280" spans="1:22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57"/>
        <v>1</v>
      </c>
      <c r="R1280" t="str">
        <f t="shared" si="58"/>
        <v>Unique ID</v>
      </c>
      <c r="V1280" t="str">
        <f t="shared" si="59"/>
        <v>No</v>
      </c>
    </row>
    <row r="1281" spans="1:22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57"/>
        <v>1</v>
      </c>
      <c r="R1281" t="str">
        <f t="shared" si="58"/>
        <v>Unique ID</v>
      </c>
      <c r="V1281" t="str">
        <f t="shared" si="59"/>
        <v>No</v>
      </c>
    </row>
    <row r="1282" spans="1:22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si="57"/>
        <v>1</v>
      </c>
      <c r="R1282" t="str">
        <f t="shared" si="58"/>
        <v>Unique ID</v>
      </c>
      <c r="V1282" t="str">
        <f t="shared" si="59"/>
        <v>No</v>
      </c>
    </row>
    <row r="1283" spans="1:22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ref="Q1283:Q1346" si="60">COUNTIF($A:$A,A1283)</f>
        <v>1</v>
      </c>
      <c r="R1283" t="str">
        <f t="shared" ref="R1283:R1346" si="61">IF(Q1283&gt;1,"Duplicate ID","Unique ID")</f>
        <v>Unique ID</v>
      </c>
      <c r="V1283" t="str">
        <f t="shared" ref="V1283:V1346" si="62">IF(OR(L1283&lt;$U$5,L1283&gt;$U$6),"Yes","No")</f>
        <v>No</v>
      </c>
    </row>
    <row r="1284" spans="1:22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60"/>
        <v>1</v>
      </c>
      <c r="R1284" t="str">
        <f t="shared" si="61"/>
        <v>Unique ID</v>
      </c>
      <c r="V1284" t="str">
        <f t="shared" si="62"/>
        <v>No</v>
      </c>
    </row>
    <row r="1285" spans="1:22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60"/>
        <v>1</v>
      </c>
      <c r="R1285" t="str">
        <f t="shared" si="61"/>
        <v>Unique ID</v>
      </c>
      <c r="V1285" t="str">
        <f t="shared" si="62"/>
        <v>No</v>
      </c>
    </row>
    <row r="1286" spans="1:22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60"/>
        <v>1</v>
      </c>
      <c r="R1286" t="str">
        <f t="shared" si="61"/>
        <v>Unique ID</v>
      </c>
      <c r="V1286" t="str">
        <f t="shared" si="62"/>
        <v>No</v>
      </c>
    </row>
    <row r="1287" spans="1:22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60"/>
        <v>1</v>
      </c>
      <c r="R1287" t="str">
        <f t="shared" si="61"/>
        <v>Unique ID</v>
      </c>
      <c r="V1287" t="str">
        <f t="shared" si="62"/>
        <v>No</v>
      </c>
    </row>
    <row r="1288" spans="1:22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60"/>
        <v>1</v>
      </c>
      <c r="R1288" t="str">
        <f t="shared" si="61"/>
        <v>Unique ID</v>
      </c>
      <c r="V1288" t="str">
        <f t="shared" si="62"/>
        <v>No</v>
      </c>
    </row>
    <row r="1289" spans="1:22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60"/>
        <v>1</v>
      </c>
      <c r="R1289" t="str">
        <f t="shared" si="61"/>
        <v>Unique ID</v>
      </c>
      <c r="V1289" t="str">
        <f t="shared" si="62"/>
        <v>No</v>
      </c>
    </row>
    <row r="1290" spans="1:22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60"/>
        <v>1</v>
      </c>
      <c r="R1290" t="str">
        <f t="shared" si="61"/>
        <v>Unique ID</v>
      </c>
      <c r="V1290" t="str">
        <f t="shared" si="62"/>
        <v>No</v>
      </c>
    </row>
    <row r="1291" spans="1:22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60"/>
        <v>1</v>
      </c>
      <c r="R1291" t="str">
        <f t="shared" si="61"/>
        <v>Unique ID</v>
      </c>
      <c r="V1291" t="str">
        <f t="shared" si="62"/>
        <v>No</v>
      </c>
    </row>
    <row r="1292" spans="1:22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60"/>
        <v>1</v>
      </c>
      <c r="R1292" t="str">
        <f t="shared" si="61"/>
        <v>Unique ID</v>
      </c>
      <c r="V1292" t="str">
        <f t="shared" si="62"/>
        <v>No</v>
      </c>
    </row>
    <row r="1293" spans="1:22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60"/>
        <v>1</v>
      </c>
      <c r="R1293" t="str">
        <f t="shared" si="61"/>
        <v>Unique ID</v>
      </c>
      <c r="V1293" t="str">
        <f t="shared" si="62"/>
        <v>No</v>
      </c>
    </row>
    <row r="1294" spans="1:22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60"/>
        <v>1</v>
      </c>
      <c r="R1294" t="str">
        <f t="shared" si="61"/>
        <v>Unique ID</v>
      </c>
      <c r="V1294" t="str">
        <f t="shared" si="62"/>
        <v>No</v>
      </c>
    </row>
    <row r="1295" spans="1:22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60"/>
        <v>1</v>
      </c>
      <c r="R1295" t="str">
        <f t="shared" si="61"/>
        <v>Unique ID</v>
      </c>
      <c r="V1295" t="str">
        <f t="shared" si="62"/>
        <v>No</v>
      </c>
    </row>
    <row r="1296" spans="1:22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60"/>
        <v>1</v>
      </c>
      <c r="R1296" t="str">
        <f t="shared" si="61"/>
        <v>Unique ID</v>
      </c>
      <c r="V1296" t="str">
        <f t="shared" si="62"/>
        <v>No</v>
      </c>
    </row>
    <row r="1297" spans="1:22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60"/>
        <v>1</v>
      </c>
      <c r="R1297" t="str">
        <f t="shared" si="61"/>
        <v>Unique ID</v>
      </c>
      <c r="V1297" t="str">
        <f t="shared" si="62"/>
        <v>No</v>
      </c>
    </row>
    <row r="1298" spans="1:22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60"/>
        <v>1</v>
      </c>
      <c r="R1298" t="str">
        <f t="shared" si="61"/>
        <v>Unique ID</v>
      </c>
      <c r="V1298" t="str">
        <f t="shared" si="62"/>
        <v>Yes</v>
      </c>
    </row>
    <row r="1299" spans="1:22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60"/>
        <v>1</v>
      </c>
      <c r="R1299" t="str">
        <f t="shared" si="61"/>
        <v>Unique ID</v>
      </c>
      <c r="V1299" t="str">
        <f t="shared" si="62"/>
        <v>No</v>
      </c>
    </row>
    <row r="1300" spans="1:22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60"/>
        <v>1</v>
      </c>
      <c r="R1300" t="str">
        <f t="shared" si="61"/>
        <v>Unique ID</v>
      </c>
      <c r="V1300" t="str">
        <f t="shared" si="62"/>
        <v>No</v>
      </c>
    </row>
    <row r="1301" spans="1:22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60"/>
        <v>1</v>
      </c>
      <c r="R1301" t="str">
        <f t="shared" si="61"/>
        <v>Unique ID</v>
      </c>
      <c r="V1301" t="str">
        <f t="shared" si="62"/>
        <v>No</v>
      </c>
    </row>
    <row r="1302" spans="1:22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60"/>
        <v>1</v>
      </c>
      <c r="R1302" t="str">
        <f t="shared" si="61"/>
        <v>Unique ID</v>
      </c>
      <c r="V1302" t="str">
        <f t="shared" si="62"/>
        <v>No</v>
      </c>
    </row>
    <row r="1303" spans="1:22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60"/>
        <v>1</v>
      </c>
      <c r="R1303" t="str">
        <f t="shared" si="61"/>
        <v>Unique ID</v>
      </c>
      <c r="V1303" t="str">
        <f t="shared" si="62"/>
        <v>No</v>
      </c>
    </row>
    <row r="1304" spans="1:22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60"/>
        <v>1</v>
      </c>
      <c r="R1304" t="str">
        <f t="shared" si="61"/>
        <v>Unique ID</v>
      </c>
      <c r="V1304" t="str">
        <f t="shared" si="62"/>
        <v>No</v>
      </c>
    </row>
    <row r="1305" spans="1:22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60"/>
        <v>1</v>
      </c>
      <c r="R1305" t="str">
        <f t="shared" si="61"/>
        <v>Unique ID</v>
      </c>
      <c r="V1305" t="str">
        <f t="shared" si="62"/>
        <v>No</v>
      </c>
    </row>
    <row r="1306" spans="1:22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60"/>
        <v>1</v>
      </c>
      <c r="R1306" t="str">
        <f t="shared" si="61"/>
        <v>Unique ID</v>
      </c>
      <c r="V1306" t="str">
        <f t="shared" si="62"/>
        <v>No</v>
      </c>
    </row>
    <row r="1307" spans="1:22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60"/>
        <v>1</v>
      </c>
      <c r="R1307" t="str">
        <f t="shared" si="61"/>
        <v>Unique ID</v>
      </c>
      <c r="V1307" t="str">
        <f t="shared" si="62"/>
        <v>No</v>
      </c>
    </row>
    <row r="1308" spans="1:22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60"/>
        <v>1</v>
      </c>
      <c r="R1308" t="str">
        <f t="shared" si="61"/>
        <v>Unique ID</v>
      </c>
      <c r="V1308" t="str">
        <f t="shared" si="62"/>
        <v>No</v>
      </c>
    </row>
    <row r="1309" spans="1:22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60"/>
        <v>1</v>
      </c>
      <c r="R1309" t="str">
        <f t="shared" si="61"/>
        <v>Unique ID</v>
      </c>
      <c r="V1309" t="str">
        <f t="shared" si="62"/>
        <v>No</v>
      </c>
    </row>
    <row r="1310" spans="1:22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60"/>
        <v>1</v>
      </c>
      <c r="R1310" t="str">
        <f t="shared" si="61"/>
        <v>Unique ID</v>
      </c>
      <c r="V1310" t="str">
        <f t="shared" si="62"/>
        <v>No</v>
      </c>
    </row>
    <row r="1311" spans="1:22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60"/>
        <v>1</v>
      </c>
      <c r="R1311" t="str">
        <f t="shared" si="61"/>
        <v>Unique ID</v>
      </c>
      <c r="V1311" t="str">
        <f t="shared" si="62"/>
        <v>No</v>
      </c>
    </row>
    <row r="1312" spans="1:22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60"/>
        <v>1</v>
      </c>
      <c r="R1312" t="str">
        <f t="shared" si="61"/>
        <v>Unique ID</v>
      </c>
      <c r="V1312" t="str">
        <f t="shared" si="62"/>
        <v>Yes</v>
      </c>
    </row>
    <row r="1313" spans="1:22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60"/>
        <v>1</v>
      </c>
      <c r="R1313" t="str">
        <f t="shared" si="61"/>
        <v>Unique ID</v>
      </c>
      <c r="V1313" t="str">
        <f t="shared" si="62"/>
        <v>No</v>
      </c>
    </row>
    <row r="1314" spans="1:22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60"/>
        <v>1</v>
      </c>
      <c r="R1314" t="str">
        <f t="shared" si="61"/>
        <v>Unique ID</v>
      </c>
      <c r="V1314" t="str">
        <f t="shared" si="62"/>
        <v>No</v>
      </c>
    </row>
    <row r="1315" spans="1:22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60"/>
        <v>1</v>
      </c>
      <c r="R1315" t="str">
        <f t="shared" si="61"/>
        <v>Unique ID</v>
      </c>
      <c r="V1315" t="str">
        <f t="shared" si="62"/>
        <v>No</v>
      </c>
    </row>
    <row r="1316" spans="1:22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60"/>
        <v>1</v>
      </c>
      <c r="R1316" t="str">
        <f t="shared" si="61"/>
        <v>Unique ID</v>
      </c>
      <c r="V1316" t="str">
        <f t="shared" si="62"/>
        <v>No</v>
      </c>
    </row>
    <row r="1317" spans="1:22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60"/>
        <v>1</v>
      </c>
      <c r="R1317" t="str">
        <f t="shared" si="61"/>
        <v>Unique ID</v>
      </c>
      <c r="V1317" t="str">
        <f t="shared" si="62"/>
        <v>No</v>
      </c>
    </row>
    <row r="1318" spans="1:22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60"/>
        <v>1</v>
      </c>
      <c r="R1318" t="str">
        <f t="shared" si="61"/>
        <v>Unique ID</v>
      </c>
      <c r="V1318" t="str">
        <f t="shared" si="62"/>
        <v>No</v>
      </c>
    </row>
    <row r="1319" spans="1:22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60"/>
        <v>1</v>
      </c>
      <c r="R1319" t="str">
        <f t="shared" si="61"/>
        <v>Unique ID</v>
      </c>
      <c r="V1319" t="str">
        <f t="shared" si="62"/>
        <v>No</v>
      </c>
    </row>
    <row r="1320" spans="1:22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60"/>
        <v>1</v>
      </c>
      <c r="R1320" t="str">
        <f t="shared" si="61"/>
        <v>Unique ID</v>
      </c>
      <c r="V1320" t="str">
        <f t="shared" si="62"/>
        <v>Yes</v>
      </c>
    </row>
    <row r="1321" spans="1:22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60"/>
        <v>1</v>
      </c>
      <c r="R1321" t="str">
        <f t="shared" si="61"/>
        <v>Unique ID</v>
      </c>
      <c r="V1321" t="str">
        <f t="shared" si="62"/>
        <v>No</v>
      </c>
    </row>
    <row r="1322" spans="1:22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60"/>
        <v>1</v>
      </c>
      <c r="R1322" t="str">
        <f t="shared" si="61"/>
        <v>Unique ID</v>
      </c>
      <c r="V1322" t="str">
        <f t="shared" si="62"/>
        <v>No</v>
      </c>
    </row>
    <row r="1323" spans="1:22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60"/>
        <v>1</v>
      </c>
      <c r="R1323" t="str">
        <f t="shared" si="61"/>
        <v>Unique ID</v>
      </c>
      <c r="V1323" t="str">
        <f t="shared" si="62"/>
        <v>Yes</v>
      </c>
    </row>
    <row r="1324" spans="1:22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60"/>
        <v>1</v>
      </c>
      <c r="R1324" t="str">
        <f t="shared" si="61"/>
        <v>Unique ID</v>
      </c>
      <c r="V1324" t="str">
        <f t="shared" si="62"/>
        <v>No</v>
      </c>
    </row>
    <row r="1325" spans="1:22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60"/>
        <v>1</v>
      </c>
      <c r="R1325" t="str">
        <f t="shared" si="61"/>
        <v>Unique ID</v>
      </c>
      <c r="V1325" t="str">
        <f t="shared" si="62"/>
        <v>No</v>
      </c>
    </row>
    <row r="1326" spans="1:22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60"/>
        <v>1</v>
      </c>
      <c r="R1326" t="str">
        <f t="shared" si="61"/>
        <v>Unique ID</v>
      </c>
      <c r="V1326" t="str">
        <f t="shared" si="62"/>
        <v>No</v>
      </c>
    </row>
    <row r="1327" spans="1:22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60"/>
        <v>1</v>
      </c>
      <c r="R1327" t="str">
        <f t="shared" si="61"/>
        <v>Unique ID</v>
      </c>
      <c r="V1327" t="str">
        <f t="shared" si="62"/>
        <v>No</v>
      </c>
    </row>
    <row r="1328" spans="1:22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60"/>
        <v>1</v>
      </c>
      <c r="R1328" t="str">
        <f t="shared" si="61"/>
        <v>Unique ID</v>
      </c>
      <c r="V1328" t="str">
        <f t="shared" si="62"/>
        <v>No</v>
      </c>
    </row>
    <row r="1329" spans="1:22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60"/>
        <v>1</v>
      </c>
      <c r="R1329" t="str">
        <f t="shared" si="61"/>
        <v>Unique ID</v>
      </c>
      <c r="V1329" t="str">
        <f t="shared" si="62"/>
        <v>No</v>
      </c>
    </row>
    <row r="1330" spans="1:22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60"/>
        <v>1</v>
      </c>
      <c r="R1330" t="str">
        <f t="shared" si="61"/>
        <v>Unique ID</v>
      </c>
      <c r="V1330" t="str">
        <f t="shared" si="62"/>
        <v>No</v>
      </c>
    </row>
    <row r="1331" spans="1:22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60"/>
        <v>1</v>
      </c>
      <c r="R1331" t="str">
        <f t="shared" si="61"/>
        <v>Unique ID</v>
      </c>
      <c r="V1331" t="str">
        <f t="shared" si="62"/>
        <v>No</v>
      </c>
    </row>
    <row r="1332" spans="1:22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60"/>
        <v>1</v>
      </c>
      <c r="R1332" t="str">
        <f t="shared" si="61"/>
        <v>Unique ID</v>
      </c>
      <c r="V1332" t="str">
        <f t="shared" si="62"/>
        <v>No</v>
      </c>
    </row>
    <row r="1333" spans="1:22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60"/>
        <v>1</v>
      </c>
      <c r="R1333" t="str">
        <f t="shared" si="61"/>
        <v>Unique ID</v>
      </c>
      <c r="V1333" t="str">
        <f t="shared" si="62"/>
        <v>No</v>
      </c>
    </row>
    <row r="1334" spans="1:22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60"/>
        <v>1</v>
      </c>
      <c r="R1334" t="str">
        <f t="shared" si="61"/>
        <v>Unique ID</v>
      </c>
      <c r="V1334" t="str">
        <f t="shared" si="62"/>
        <v>No</v>
      </c>
    </row>
    <row r="1335" spans="1:22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60"/>
        <v>1</v>
      </c>
      <c r="R1335" t="str">
        <f t="shared" si="61"/>
        <v>Unique ID</v>
      </c>
      <c r="V1335" t="str">
        <f t="shared" si="62"/>
        <v>No</v>
      </c>
    </row>
    <row r="1336" spans="1:22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60"/>
        <v>1</v>
      </c>
      <c r="R1336" t="str">
        <f t="shared" si="61"/>
        <v>Unique ID</v>
      </c>
      <c r="V1336" t="str">
        <f t="shared" si="62"/>
        <v>No</v>
      </c>
    </row>
    <row r="1337" spans="1:22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60"/>
        <v>1</v>
      </c>
      <c r="R1337" t="str">
        <f t="shared" si="61"/>
        <v>Unique ID</v>
      </c>
      <c r="V1337" t="str">
        <f t="shared" si="62"/>
        <v>No</v>
      </c>
    </row>
    <row r="1338" spans="1:22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60"/>
        <v>1</v>
      </c>
      <c r="R1338" t="str">
        <f t="shared" si="61"/>
        <v>Unique ID</v>
      </c>
      <c r="V1338" t="str">
        <f t="shared" si="62"/>
        <v>No</v>
      </c>
    </row>
    <row r="1339" spans="1:22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60"/>
        <v>1</v>
      </c>
      <c r="R1339" t="str">
        <f t="shared" si="61"/>
        <v>Unique ID</v>
      </c>
      <c r="V1339" t="str">
        <f t="shared" si="62"/>
        <v>No</v>
      </c>
    </row>
    <row r="1340" spans="1:22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60"/>
        <v>1</v>
      </c>
      <c r="R1340" t="str">
        <f t="shared" si="61"/>
        <v>Unique ID</v>
      </c>
      <c r="V1340" t="str">
        <f t="shared" si="62"/>
        <v>No</v>
      </c>
    </row>
    <row r="1341" spans="1:22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60"/>
        <v>1</v>
      </c>
      <c r="R1341" t="str">
        <f t="shared" si="61"/>
        <v>Unique ID</v>
      </c>
      <c r="V1341" t="str">
        <f t="shared" si="62"/>
        <v>No</v>
      </c>
    </row>
    <row r="1342" spans="1:22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60"/>
        <v>1</v>
      </c>
      <c r="R1342" t="str">
        <f t="shared" si="61"/>
        <v>Unique ID</v>
      </c>
      <c r="V1342" t="str">
        <f t="shared" si="62"/>
        <v>No</v>
      </c>
    </row>
    <row r="1343" spans="1:22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60"/>
        <v>1</v>
      </c>
      <c r="R1343" t="str">
        <f t="shared" si="61"/>
        <v>Unique ID</v>
      </c>
      <c r="V1343" t="str">
        <f t="shared" si="62"/>
        <v>No</v>
      </c>
    </row>
    <row r="1344" spans="1:22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60"/>
        <v>1</v>
      </c>
      <c r="R1344" t="str">
        <f t="shared" si="61"/>
        <v>Unique ID</v>
      </c>
      <c r="V1344" t="str">
        <f t="shared" si="62"/>
        <v>No</v>
      </c>
    </row>
    <row r="1345" spans="1:22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60"/>
        <v>1</v>
      </c>
      <c r="R1345" t="str">
        <f t="shared" si="61"/>
        <v>Unique ID</v>
      </c>
      <c r="V1345" t="str">
        <f t="shared" si="62"/>
        <v>No</v>
      </c>
    </row>
    <row r="1346" spans="1:22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si="60"/>
        <v>1</v>
      </c>
      <c r="R1346" t="str">
        <f t="shared" si="61"/>
        <v>Unique ID</v>
      </c>
      <c r="V1346" t="str">
        <f t="shared" si="62"/>
        <v>No</v>
      </c>
    </row>
    <row r="1347" spans="1:22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ref="Q1347:Q1409" si="63">COUNTIF($A:$A,A1347)</f>
        <v>1</v>
      </c>
      <c r="R1347" t="str">
        <f t="shared" ref="R1347:R1409" si="64">IF(Q1347&gt;1,"Duplicate ID","Unique ID")</f>
        <v>Unique ID</v>
      </c>
      <c r="V1347" t="str">
        <f t="shared" ref="V1347:V1409" si="65">IF(OR(L1347&lt;$U$5,L1347&gt;$U$6),"Yes","No")</f>
        <v>No</v>
      </c>
    </row>
    <row r="1348" spans="1:22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63"/>
        <v>1</v>
      </c>
      <c r="R1348" t="str">
        <f t="shared" si="64"/>
        <v>Unique ID</v>
      </c>
      <c r="V1348" t="str">
        <f t="shared" si="65"/>
        <v>No</v>
      </c>
    </row>
    <row r="1349" spans="1:22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63"/>
        <v>1</v>
      </c>
      <c r="R1349" t="str">
        <f t="shared" si="64"/>
        <v>Unique ID</v>
      </c>
      <c r="V1349" t="str">
        <f t="shared" si="65"/>
        <v>No</v>
      </c>
    </row>
    <row r="1350" spans="1:22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63"/>
        <v>1</v>
      </c>
      <c r="R1350" t="str">
        <f t="shared" si="64"/>
        <v>Unique ID</v>
      </c>
      <c r="V1350" t="str">
        <f t="shared" si="65"/>
        <v>No</v>
      </c>
    </row>
    <row r="1351" spans="1:22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63"/>
        <v>1</v>
      </c>
      <c r="R1351" t="str">
        <f t="shared" si="64"/>
        <v>Unique ID</v>
      </c>
      <c r="V1351" t="str">
        <f t="shared" si="65"/>
        <v>Yes</v>
      </c>
    </row>
    <row r="1352" spans="1:22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63"/>
        <v>1</v>
      </c>
      <c r="R1352" t="str">
        <f t="shared" si="64"/>
        <v>Unique ID</v>
      </c>
      <c r="V1352" t="str">
        <f t="shared" si="65"/>
        <v>No</v>
      </c>
    </row>
    <row r="1353" spans="1:22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63"/>
        <v>1</v>
      </c>
      <c r="R1353" t="str">
        <f t="shared" si="64"/>
        <v>Unique ID</v>
      </c>
      <c r="V1353" t="str">
        <f t="shared" si="65"/>
        <v>No</v>
      </c>
    </row>
    <row r="1354" spans="1:22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63"/>
        <v>1</v>
      </c>
      <c r="R1354" t="str">
        <f t="shared" si="64"/>
        <v>Unique ID</v>
      </c>
      <c r="V1354" t="str">
        <f t="shared" si="65"/>
        <v>No</v>
      </c>
    </row>
    <row r="1355" spans="1:22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63"/>
        <v>1</v>
      </c>
      <c r="R1355" t="str">
        <f t="shared" si="64"/>
        <v>Unique ID</v>
      </c>
      <c r="V1355" t="str">
        <f t="shared" si="65"/>
        <v>No</v>
      </c>
    </row>
    <row r="1356" spans="1:22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63"/>
        <v>1</v>
      </c>
      <c r="R1356" t="str">
        <f t="shared" si="64"/>
        <v>Unique ID</v>
      </c>
      <c r="V1356" t="str">
        <f t="shared" si="65"/>
        <v>No</v>
      </c>
    </row>
    <row r="1357" spans="1:22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63"/>
        <v>1</v>
      </c>
      <c r="R1357" t="str">
        <f t="shared" si="64"/>
        <v>Unique ID</v>
      </c>
      <c r="V1357" t="str">
        <f t="shared" si="65"/>
        <v>No</v>
      </c>
    </row>
    <row r="1358" spans="1:22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63"/>
        <v>1</v>
      </c>
      <c r="R1358" t="str">
        <f t="shared" si="64"/>
        <v>Unique ID</v>
      </c>
      <c r="V1358" t="str">
        <f t="shared" si="65"/>
        <v>No</v>
      </c>
    </row>
    <row r="1359" spans="1:22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63"/>
        <v>1</v>
      </c>
      <c r="R1359" t="str">
        <f t="shared" si="64"/>
        <v>Unique ID</v>
      </c>
      <c r="V1359" t="str">
        <f t="shared" si="65"/>
        <v>No</v>
      </c>
    </row>
    <row r="1360" spans="1:22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63"/>
        <v>1</v>
      </c>
      <c r="R1360" t="str">
        <f t="shared" si="64"/>
        <v>Unique ID</v>
      </c>
      <c r="V1360" t="str">
        <f t="shared" si="65"/>
        <v>No</v>
      </c>
    </row>
    <row r="1361" spans="1:22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63"/>
        <v>1</v>
      </c>
      <c r="R1361" t="str">
        <f t="shared" si="64"/>
        <v>Unique ID</v>
      </c>
      <c r="V1361" t="str">
        <f t="shared" si="65"/>
        <v>No</v>
      </c>
    </row>
    <row r="1362" spans="1:22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63"/>
        <v>1</v>
      </c>
      <c r="R1362" t="str">
        <f t="shared" si="64"/>
        <v>Unique ID</v>
      </c>
      <c r="V1362" t="str">
        <f t="shared" si="65"/>
        <v>No</v>
      </c>
    </row>
    <row r="1363" spans="1:22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63"/>
        <v>2</v>
      </c>
      <c r="R1363" t="str">
        <f t="shared" si="64"/>
        <v>Duplicate ID</v>
      </c>
      <c r="V1363" t="str">
        <f t="shared" si="65"/>
        <v>No</v>
      </c>
    </row>
    <row r="1364" spans="1:22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63"/>
        <v>1</v>
      </c>
      <c r="R1364" t="str">
        <f t="shared" si="64"/>
        <v>Unique ID</v>
      </c>
      <c r="V1364" t="str">
        <f t="shared" si="65"/>
        <v>No</v>
      </c>
    </row>
    <row r="1365" spans="1:22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63"/>
        <v>1</v>
      </c>
      <c r="R1365" t="str">
        <f t="shared" si="64"/>
        <v>Unique ID</v>
      </c>
      <c r="V1365" t="str">
        <f t="shared" si="65"/>
        <v>No</v>
      </c>
    </row>
    <row r="1366" spans="1:22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63"/>
        <v>1</v>
      </c>
      <c r="R1366" t="str">
        <f t="shared" si="64"/>
        <v>Unique ID</v>
      </c>
      <c r="V1366" t="str">
        <f t="shared" si="65"/>
        <v>No</v>
      </c>
    </row>
    <row r="1367" spans="1:22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63"/>
        <v>1</v>
      </c>
      <c r="R1367" t="str">
        <f t="shared" si="64"/>
        <v>Unique ID</v>
      </c>
      <c r="V1367" t="str">
        <f t="shared" si="65"/>
        <v>No</v>
      </c>
    </row>
    <row r="1368" spans="1:22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63"/>
        <v>1</v>
      </c>
      <c r="R1368" t="str">
        <f t="shared" si="64"/>
        <v>Unique ID</v>
      </c>
      <c r="V1368" t="str">
        <f t="shared" si="65"/>
        <v>No</v>
      </c>
    </row>
    <row r="1369" spans="1:22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63"/>
        <v>1</v>
      </c>
      <c r="R1369" t="str">
        <f t="shared" si="64"/>
        <v>Unique ID</v>
      </c>
      <c r="V1369" t="str">
        <f t="shared" si="65"/>
        <v>No</v>
      </c>
    </row>
    <row r="1370" spans="1:22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63"/>
        <v>1</v>
      </c>
      <c r="R1370" t="str">
        <f t="shared" si="64"/>
        <v>Unique ID</v>
      </c>
      <c r="V1370" t="str">
        <f t="shared" si="65"/>
        <v>No</v>
      </c>
    </row>
    <row r="1371" spans="1:22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63"/>
        <v>1</v>
      </c>
      <c r="R1371" t="str">
        <f t="shared" si="64"/>
        <v>Unique ID</v>
      </c>
      <c r="V1371" t="str">
        <f t="shared" si="65"/>
        <v>No</v>
      </c>
    </row>
    <row r="1372" spans="1:22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63"/>
        <v>1</v>
      </c>
      <c r="R1372" t="str">
        <f t="shared" si="64"/>
        <v>Unique ID</v>
      </c>
      <c r="V1372" t="str">
        <f t="shared" si="65"/>
        <v>No</v>
      </c>
    </row>
    <row r="1373" spans="1:22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63"/>
        <v>1</v>
      </c>
      <c r="R1373" t="str">
        <f t="shared" si="64"/>
        <v>Unique ID</v>
      </c>
      <c r="V1373" t="str">
        <f t="shared" si="65"/>
        <v>No</v>
      </c>
    </row>
    <row r="1374" spans="1:22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63"/>
        <v>1</v>
      </c>
      <c r="R1374" t="str">
        <f t="shared" si="64"/>
        <v>Unique ID</v>
      </c>
      <c r="V1374" t="str">
        <f t="shared" si="65"/>
        <v>No</v>
      </c>
    </row>
    <row r="1375" spans="1:22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63"/>
        <v>1</v>
      </c>
      <c r="R1375" t="str">
        <f t="shared" si="64"/>
        <v>Unique ID</v>
      </c>
      <c r="V1375" t="str">
        <f t="shared" si="65"/>
        <v>No</v>
      </c>
    </row>
    <row r="1376" spans="1:22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63"/>
        <v>1</v>
      </c>
      <c r="R1376" t="str">
        <f t="shared" si="64"/>
        <v>Unique ID</v>
      </c>
      <c r="V1376" t="str">
        <f t="shared" si="65"/>
        <v>No</v>
      </c>
    </row>
    <row r="1377" spans="1:22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63"/>
        <v>1</v>
      </c>
      <c r="R1377" t="str">
        <f t="shared" si="64"/>
        <v>Unique ID</v>
      </c>
      <c r="V1377" t="str">
        <f t="shared" si="65"/>
        <v>No</v>
      </c>
    </row>
    <row r="1378" spans="1:22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63"/>
        <v>1</v>
      </c>
      <c r="R1378" t="str">
        <f t="shared" si="64"/>
        <v>Unique ID</v>
      </c>
      <c r="V1378" t="str">
        <f t="shared" si="65"/>
        <v>No</v>
      </c>
    </row>
    <row r="1379" spans="1:22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63"/>
        <v>1</v>
      </c>
      <c r="R1379" t="str">
        <f t="shared" si="64"/>
        <v>Unique ID</v>
      </c>
      <c r="V1379" t="str">
        <f t="shared" si="65"/>
        <v>No</v>
      </c>
    </row>
    <row r="1380" spans="1:22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63"/>
        <v>1</v>
      </c>
      <c r="R1380" t="str">
        <f t="shared" si="64"/>
        <v>Unique ID</v>
      </c>
      <c r="V1380" t="str">
        <f t="shared" si="65"/>
        <v>Yes</v>
      </c>
    </row>
    <row r="1381" spans="1:22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63"/>
        <v>1</v>
      </c>
      <c r="R1381" t="str">
        <f t="shared" si="64"/>
        <v>Unique ID</v>
      </c>
      <c r="V1381" t="str">
        <f t="shared" si="65"/>
        <v>No</v>
      </c>
    </row>
    <row r="1382" spans="1:22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63"/>
        <v>1</v>
      </c>
      <c r="R1382" t="str">
        <f t="shared" si="64"/>
        <v>Unique ID</v>
      </c>
      <c r="V1382" t="str">
        <f t="shared" si="65"/>
        <v>No</v>
      </c>
    </row>
    <row r="1383" spans="1:22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63"/>
        <v>1</v>
      </c>
      <c r="R1383" t="str">
        <f t="shared" si="64"/>
        <v>Unique ID</v>
      </c>
      <c r="V1383" t="str">
        <f t="shared" si="65"/>
        <v>No</v>
      </c>
    </row>
    <row r="1384" spans="1:22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63"/>
        <v>1</v>
      </c>
      <c r="R1384" t="str">
        <f t="shared" si="64"/>
        <v>Unique ID</v>
      </c>
      <c r="V1384" t="str">
        <f t="shared" si="65"/>
        <v>No</v>
      </c>
    </row>
    <row r="1385" spans="1:22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63"/>
        <v>1</v>
      </c>
      <c r="R1385" t="str">
        <f t="shared" si="64"/>
        <v>Unique ID</v>
      </c>
      <c r="V1385" t="str">
        <f t="shared" si="65"/>
        <v>No</v>
      </c>
    </row>
    <row r="1386" spans="1:22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63"/>
        <v>1</v>
      </c>
      <c r="R1386" t="str">
        <f t="shared" si="64"/>
        <v>Unique ID</v>
      </c>
      <c r="V1386" t="str">
        <f t="shared" si="65"/>
        <v>No</v>
      </c>
    </row>
    <row r="1387" spans="1:22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63"/>
        <v>1</v>
      </c>
      <c r="R1387" t="str">
        <f t="shared" si="64"/>
        <v>Unique ID</v>
      </c>
      <c r="V1387" t="str">
        <f t="shared" si="65"/>
        <v>No</v>
      </c>
    </row>
    <row r="1388" spans="1:22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63"/>
        <v>1</v>
      </c>
      <c r="R1388" t="str">
        <f t="shared" si="64"/>
        <v>Unique ID</v>
      </c>
      <c r="V1388" t="str">
        <f t="shared" si="65"/>
        <v>No</v>
      </c>
    </row>
    <row r="1389" spans="1:22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63"/>
        <v>1</v>
      </c>
      <c r="R1389" t="str">
        <f t="shared" si="64"/>
        <v>Unique ID</v>
      </c>
      <c r="V1389" t="str">
        <f t="shared" si="65"/>
        <v>No</v>
      </c>
    </row>
    <row r="1390" spans="1:22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63"/>
        <v>1</v>
      </c>
      <c r="R1390" t="str">
        <f t="shared" si="64"/>
        <v>Unique ID</v>
      </c>
      <c r="V1390" t="str">
        <f t="shared" si="65"/>
        <v>No</v>
      </c>
    </row>
    <row r="1391" spans="1:22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63"/>
        <v>1</v>
      </c>
      <c r="R1391" t="str">
        <f t="shared" si="64"/>
        <v>Unique ID</v>
      </c>
      <c r="V1391" t="str">
        <f t="shared" si="65"/>
        <v>No</v>
      </c>
    </row>
    <row r="1392" spans="1:22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63"/>
        <v>1</v>
      </c>
      <c r="R1392" t="str">
        <f t="shared" si="64"/>
        <v>Unique ID</v>
      </c>
      <c r="V1392" t="str">
        <f t="shared" si="65"/>
        <v>No</v>
      </c>
    </row>
    <row r="1393" spans="1:22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63"/>
        <v>1</v>
      </c>
      <c r="R1393" t="str">
        <f t="shared" si="64"/>
        <v>Unique ID</v>
      </c>
      <c r="V1393" t="str">
        <f t="shared" si="65"/>
        <v>No</v>
      </c>
    </row>
    <row r="1394" spans="1:22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63"/>
        <v>1</v>
      </c>
      <c r="R1394" t="str">
        <f t="shared" si="64"/>
        <v>Unique ID</v>
      </c>
      <c r="V1394" t="str">
        <f t="shared" si="65"/>
        <v>No</v>
      </c>
    </row>
    <row r="1395" spans="1:22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63"/>
        <v>1</v>
      </c>
      <c r="R1395" t="str">
        <f t="shared" si="64"/>
        <v>Unique ID</v>
      </c>
      <c r="V1395" t="str">
        <f t="shared" si="65"/>
        <v>No</v>
      </c>
    </row>
    <row r="1396" spans="1:22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63"/>
        <v>1</v>
      </c>
      <c r="R1396" t="str">
        <f t="shared" si="64"/>
        <v>Unique ID</v>
      </c>
      <c r="V1396" t="str">
        <f t="shared" si="65"/>
        <v>No</v>
      </c>
    </row>
    <row r="1397" spans="1:22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63"/>
        <v>1</v>
      </c>
      <c r="R1397" t="str">
        <f t="shared" si="64"/>
        <v>Unique ID</v>
      </c>
      <c r="V1397" t="str">
        <f t="shared" si="65"/>
        <v>Yes</v>
      </c>
    </row>
    <row r="1398" spans="1:22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63"/>
        <v>1</v>
      </c>
      <c r="R1398" t="str">
        <f t="shared" si="64"/>
        <v>Unique ID</v>
      </c>
      <c r="V1398" t="str">
        <f t="shared" si="65"/>
        <v>No</v>
      </c>
    </row>
    <row r="1399" spans="1:22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63"/>
        <v>1</v>
      </c>
      <c r="R1399" t="str">
        <f t="shared" si="64"/>
        <v>Unique ID</v>
      </c>
      <c r="V1399" t="str">
        <f t="shared" si="65"/>
        <v>No</v>
      </c>
    </row>
    <row r="1400" spans="1:22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63"/>
        <v>1</v>
      </c>
      <c r="R1400" t="str">
        <f t="shared" si="64"/>
        <v>Unique ID</v>
      </c>
      <c r="V1400" t="str">
        <f t="shared" si="65"/>
        <v>No</v>
      </c>
    </row>
    <row r="1401" spans="1:22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63"/>
        <v>1</v>
      </c>
      <c r="R1401" t="str">
        <f t="shared" si="64"/>
        <v>Unique ID</v>
      </c>
      <c r="V1401" t="str">
        <f t="shared" si="65"/>
        <v>No</v>
      </c>
    </row>
    <row r="1402" spans="1:22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 t="shared" si="63"/>
        <v>2</v>
      </c>
      <c r="R1402" t="str">
        <f t="shared" si="64"/>
        <v>Duplicate ID</v>
      </c>
      <c r="V1402" t="str">
        <f t="shared" si="65"/>
        <v>No</v>
      </c>
    </row>
    <row r="1403" spans="1:22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 t="shared" si="63"/>
        <v>2</v>
      </c>
      <c r="R1403" t="str">
        <f t="shared" si="64"/>
        <v>Duplicate ID</v>
      </c>
      <c r="V1403" t="str">
        <f t="shared" si="65"/>
        <v>No</v>
      </c>
    </row>
    <row r="1404" spans="1:22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 t="shared" si="63"/>
        <v>2</v>
      </c>
      <c r="R1404" t="str">
        <f t="shared" si="64"/>
        <v>Duplicate ID</v>
      </c>
      <c r="V1404" t="str">
        <f t="shared" si="65"/>
        <v>No</v>
      </c>
    </row>
    <row r="1405" spans="1:22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 t="shared" si="63"/>
        <v>2</v>
      </c>
      <c r="R1405" t="str">
        <f t="shared" si="64"/>
        <v>Duplicate ID</v>
      </c>
      <c r="V1405" t="str">
        <f t="shared" si="65"/>
        <v>No</v>
      </c>
    </row>
    <row r="1406" spans="1:22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 t="shared" si="63"/>
        <v>2</v>
      </c>
      <c r="R1406" t="str">
        <f t="shared" si="64"/>
        <v>Duplicate ID</v>
      </c>
      <c r="V1406" t="str">
        <f t="shared" si="65"/>
        <v>No</v>
      </c>
    </row>
    <row r="1407" spans="1:22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 t="shared" si="63"/>
        <v>2</v>
      </c>
      <c r="R1407" t="str">
        <f t="shared" si="64"/>
        <v>Duplicate ID</v>
      </c>
      <c r="V1407" t="str">
        <f t="shared" si="65"/>
        <v>No</v>
      </c>
    </row>
    <row r="1408" spans="1:22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 t="shared" si="63"/>
        <v>2</v>
      </c>
      <c r="R1408" t="str">
        <f t="shared" si="64"/>
        <v>Duplicate ID</v>
      </c>
      <c r="V1408" t="str">
        <f t="shared" si="65"/>
        <v>No</v>
      </c>
    </row>
    <row r="1409" spans="1:22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 t="shared" si="63"/>
        <v>2</v>
      </c>
      <c r="R1409" t="str">
        <f t="shared" si="64"/>
        <v>Duplicate ID</v>
      </c>
      <c r="V1409" t="str">
        <f t="shared" si="65"/>
        <v>No</v>
      </c>
    </row>
  </sheetData>
  <autoFilter ref="A1:R140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306-DF51-4B6B-8FD3-6F8D76B43F04}">
  <dimension ref="A3:B6"/>
  <sheetViews>
    <sheetView workbookViewId="0">
      <selection activeCell="D16" sqref="D16"/>
    </sheetView>
  </sheetViews>
  <sheetFormatPr defaultRowHeight="14"/>
  <cols>
    <col min="1" max="1" width="12.9140625" bestFit="1" customWidth="1"/>
    <col min="2" max="2" width="14.9140625" bestFit="1" customWidth="1"/>
  </cols>
  <sheetData>
    <row r="3" spans="1:2">
      <c r="A3" s="4" t="s">
        <v>1451</v>
      </c>
      <c r="B3" t="s">
        <v>1453</v>
      </c>
    </row>
    <row r="4" spans="1:2">
      <c r="A4" s="5" t="s">
        <v>17</v>
      </c>
      <c r="B4">
        <v>693</v>
      </c>
    </row>
    <row r="5" spans="1:2">
      <c r="A5" s="5" t="s">
        <v>723</v>
      </c>
      <c r="B5">
        <v>715</v>
      </c>
    </row>
    <row r="6" spans="1:2">
      <c r="A6" s="5" t="s">
        <v>1452</v>
      </c>
      <c r="B6"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7FA9-5F24-46FD-9980-E6F5401C4B2F}">
  <dimension ref="A3:D9"/>
  <sheetViews>
    <sheetView workbookViewId="0">
      <selection activeCell="A3" sqref="A3"/>
    </sheetView>
  </sheetViews>
  <sheetFormatPr defaultRowHeight="14"/>
  <cols>
    <col min="1" max="1" width="14.9140625" bestFit="1" customWidth="1"/>
    <col min="2" max="2" width="15.58203125" bestFit="1" customWidth="1"/>
    <col min="3" max="3" width="9.5" bestFit="1" customWidth="1"/>
    <col min="4" max="4" width="10.83203125" bestFit="1" customWidth="1"/>
  </cols>
  <sheetData>
    <row r="3" spans="1:4">
      <c r="A3" s="4" t="s">
        <v>1453</v>
      </c>
      <c r="B3" s="4" t="s">
        <v>1460</v>
      </c>
    </row>
    <row r="4" spans="1:4">
      <c r="A4" s="4" t="s">
        <v>1451</v>
      </c>
      <c r="B4" t="s">
        <v>17</v>
      </c>
      <c r="C4" t="s">
        <v>723</v>
      </c>
      <c r="D4" t="s">
        <v>1452</v>
      </c>
    </row>
    <row r="5" spans="1:4">
      <c r="A5" s="5" t="s">
        <v>28</v>
      </c>
      <c r="B5">
        <v>158</v>
      </c>
      <c r="C5">
        <v>172</v>
      </c>
      <c r="D5">
        <v>330</v>
      </c>
    </row>
    <row r="6" spans="1:4">
      <c r="A6" s="5" t="s">
        <v>18</v>
      </c>
      <c r="B6">
        <v>203</v>
      </c>
      <c r="C6">
        <v>180</v>
      </c>
      <c r="D6">
        <v>383</v>
      </c>
    </row>
    <row r="7" spans="1:4">
      <c r="A7" s="5" t="s">
        <v>32</v>
      </c>
      <c r="B7">
        <v>184</v>
      </c>
      <c r="C7">
        <v>184</v>
      </c>
      <c r="D7">
        <v>368</v>
      </c>
    </row>
    <row r="8" spans="1:4">
      <c r="A8" s="5" t="s">
        <v>23</v>
      </c>
      <c r="B8">
        <v>148</v>
      </c>
      <c r="C8">
        <v>179</v>
      </c>
      <c r="D8">
        <v>327</v>
      </c>
    </row>
    <row r="9" spans="1:4">
      <c r="A9" s="5" t="s">
        <v>1452</v>
      </c>
      <c r="B9">
        <v>693</v>
      </c>
      <c r="C9">
        <v>715</v>
      </c>
      <c r="D9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1252-E63C-4A96-B0EA-0607D9BBA810}">
  <dimension ref="A3:F9"/>
  <sheetViews>
    <sheetView workbookViewId="0">
      <selection activeCell="A3" sqref="A3"/>
    </sheetView>
  </sheetViews>
  <sheetFormatPr defaultRowHeight="14"/>
  <cols>
    <col min="1" max="1" width="14.9140625" bestFit="1" customWidth="1"/>
    <col min="2" max="2" width="15.58203125" bestFit="1" customWidth="1"/>
    <col min="3" max="3" width="6.1640625" bestFit="1" customWidth="1"/>
    <col min="4" max="4" width="6.08203125" bestFit="1" customWidth="1"/>
    <col min="5" max="5" width="6.5" bestFit="1" customWidth="1"/>
    <col min="6" max="6" width="10.83203125" bestFit="1" customWidth="1"/>
  </cols>
  <sheetData>
    <row r="3" spans="1:6">
      <c r="A3" s="4" t="s">
        <v>1453</v>
      </c>
      <c r="B3" s="4" t="s">
        <v>1460</v>
      </c>
    </row>
    <row r="4" spans="1:6">
      <c r="A4" s="4" t="s">
        <v>1451</v>
      </c>
      <c r="B4" t="s">
        <v>19</v>
      </c>
      <c r="C4" t="s">
        <v>24</v>
      </c>
      <c r="D4" t="s">
        <v>34</v>
      </c>
      <c r="E4" t="s">
        <v>1461</v>
      </c>
      <c r="F4" t="s">
        <v>1452</v>
      </c>
    </row>
    <row r="5" spans="1:6">
      <c r="A5" s="5" t="s">
        <v>28</v>
      </c>
      <c r="B5">
        <v>98</v>
      </c>
      <c r="C5">
        <v>200</v>
      </c>
      <c r="D5">
        <v>25</v>
      </c>
      <c r="E5">
        <v>7</v>
      </c>
      <c r="F5">
        <v>330</v>
      </c>
    </row>
    <row r="6" spans="1:6">
      <c r="A6" s="5" t="s">
        <v>18</v>
      </c>
      <c r="B6">
        <v>109</v>
      </c>
      <c r="C6">
        <v>235</v>
      </c>
      <c r="D6">
        <v>36</v>
      </c>
      <c r="E6">
        <v>3</v>
      </c>
      <c r="F6">
        <v>383</v>
      </c>
    </row>
    <row r="7" spans="1:6">
      <c r="A7" s="5" t="s">
        <v>32</v>
      </c>
      <c r="B7">
        <v>105</v>
      </c>
      <c r="C7">
        <v>231</v>
      </c>
      <c r="D7">
        <v>29</v>
      </c>
      <c r="E7">
        <v>3</v>
      </c>
      <c r="F7">
        <v>368</v>
      </c>
    </row>
    <row r="8" spans="1:6">
      <c r="A8" s="5" t="s">
        <v>23</v>
      </c>
      <c r="B8">
        <v>102</v>
      </c>
      <c r="C8">
        <v>198</v>
      </c>
      <c r="D8">
        <v>22</v>
      </c>
      <c r="E8">
        <v>5</v>
      </c>
      <c r="F8">
        <v>327</v>
      </c>
    </row>
    <row r="9" spans="1:6">
      <c r="A9" s="5" t="s">
        <v>1452</v>
      </c>
      <c r="B9">
        <v>414</v>
      </c>
      <c r="C9">
        <v>864</v>
      </c>
      <c r="D9">
        <v>112</v>
      </c>
      <c r="E9">
        <v>18</v>
      </c>
      <c r="F9">
        <v>1408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E14C7-0129-470C-A83B-237EE95E22C4}">
  <dimension ref="A3:H9"/>
  <sheetViews>
    <sheetView workbookViewId="0">
      <selection activeCell="A3" sqref="A3"/>
    </sheetView>
  </sheetViews>
  <sheetFormatPr defaultRowHeight="14"/>
  <cols>
    <col min="1" max="1" width="14.9140625" bestFit="1" customWidth="1"/>
    <col min="2" max="2" width="15.58203125" bestFit="1" customWidth="1"/>
    <col min="3" max="3" width="7.4140625" bestFit="1" customWidth="1"/>
    <col min="4" max="4" width="11" bestFit="1" customWidth="1"/>
    <col min="5" max="5" width="7.4140625" bestFit="1" customWidth="1"/>
    <col min="6" max="6" width="5.9140625" bestFit="1" customWidth="1"/>
    <col min="7" max="7" width="6.5" bestFit="1" customWidth="1"/>
    <col min="8" max="8" width="10.83203125" bestFit="1" customWidth="1"/>
  </cols>
  <sheetData>
    <row r="3" spans="1:8">
      <c r="A3" s="4" t="s">
        <v>1453</v>
      </c>
      <c r="B3" s="4" t="s">
        <v>1460</v>
      </c>
    </row>
    <row r="4" spans="1:8">
      <c r="A4" s="4" t="s">
        <v>1451</v>
      </c>
      <c r="B4" t="s">
        <v>20</v>
      </c>
      <c r="C4" t="s">
        <v>25</v>
      </c>
      <c r="D4" t="s">
        <v>29</v>
      </c>
      <c r="E4" t="s">
        <v>39</v>
      </c>
      <c r="F4" t="s">
        <v>41</v>
      </c>
      <c r="G4" t="s">
        <v>1461</v>
      </c>
      <c r="H4" t="s">
        <v>1452</v>
      </c>
    </row>
    <row r="5" spans="1:8">
      <c r="A5" s="5" t="s">
        <v>28</v>
      </c>
      <c r="B5">
        <v>27</v>
      </c>
      <c r="C5">
        <v>99</v>
      </c>
      <c r="D5">
        <v>96</v>
      </c>
      <c r="E5">
        <v>40</v>
      </c>
      <c r="F5">
        <v>62</v>
      </c>
      <c r="G5">
        <v>6</v>
      </c>
      <c r="H5">
        <v>330</v>
      </c>
    </row>
    <row r="6" spans="1:8">
      <c r="A6" s="5" t="s">
        <v>18</v>
      </c>
      <c r="B6">
        <v>34</v>
      </c>
      <c r="C6">
        <v>137</v>
      </c>
      <c r="D6">
        <v>82</v>
      </c>
      <c r="E6">
        <v>50</v>
      </c>
      <c r="F6">
        <v>75</v>
      </c>
      <c r="G6">
        <v>5</v>
      </c>
      <c r="H6">
        <v>383</v>
      </c>
    </row>
    <row r="7" spans="1:8">
      <c r="A7" s="5" t="s">
        <v>32</v>
      </c>
      <c r="B7">
        <v>34</v>
      </c>
      <c r="C7">
        <v>137</v>
      </c>
      <c r="D7">
        <v>80</v>
      </c>
      <c r="E7">
        <v>45</v>
      </c>
      <c r="F7">
        <v>62</v>
      </c>
      <c r="G7">
        <v>10</v>
      </c>
      <c r="H7">
        <v>368</v>
      </c>
    </row>
    <row r="8" spans="1:8">
      <c r="A8" s="5" t="s">
        <v>23</v>
      </c>
      <c r="B8">
        <v>35</v>
      </c>
      <c r="C8">
        <v>114</v>
      </c>
      <c r="D8">
        <v>74</v>
      </c>
      <c r="E8">
        <v>37</v>
      </c>
      <c r="F8">
        <v>64</v>
      </c>
      <c r="G8">
        <v>3</v>
      </c>
      <c r="H8">
        <v>327</v>
      </c>
    </row>
    <row r="9" spans="1:8">
      <c r="A9" s="5" t="s">
        <v>1452</v>
      </c>
      <c r="B9">
        <v>130</v>
      </c>
      <c r="C9">
        <v>487</v>
      </c>
      <c r="D9">
        <v>332</v>
      </c>
      <c r="E9">
        <v>172</v>
      </c>
      <c r="F9">
        <v>263</v>
      </c>
      <c r="G9">
        <v>24</v>
      </c>
      <c r="H9">
        <v>1408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93A5-62BB-4D5B-AC62-D7535ADD786B}">
  <dimension ref="A3:E9"/>
  <sheetViews>
    <sheetView workbookViewId="0">
      <selection activeCell="A3" sqref="A3"/>
    </sheetView>
  </sheetViews>
  <sheetFormatPr defaultRowHeight="14"/>
  <cols>
    <col min="1" max="1" width="14.9140625" bestFit="1" customWidth="1"/>
    <col min="2" max="2" width="15.58203125" bestFit="1" customWidth="1"/>
    <col min="3" max="3" width="4.5" bestFit="1" customWidth="1"/>
    <col min="4" max="4" width="8.33203125" bestFit="1" customWidth="1"/>
    <col min="5" max="5" width="10.83203125" bestFit="1" customWidth="1"/>
  </cols>
  <sheetData>
    <row r="3" spans="1:5">
      <c r="A3" s="4" t="s">
        <v>1453</v>
      </c>
      <c r="B3" s="4" t="s">
        <v>1460</v>
      </c>
    </row>
    <row r="4" spans="1:5">
      <c r="A4" s="4" t="s">
        <v>1451</v>
      </c>
      <c r="B4" t="s">
        <v>21</v>
      </c>
      <c r="C4" t="s">
        <v>26</v>
      </c>
      <c r="D4" t="s">
        <v>30</v>
      </c>
      <c r="E4" t="s">
        <v>1452</v>
      </c>
    </row>
    <row r="5" spans="1:5">
      <c r="A5" s="5" t="s">
        <v>28</v>
      </c>
      <c r="B5">
        <v>89</v>
      </c>
      <c r="C5">
        <v>191</v>
      </c>
      <c r="D5">
        <v>50</v>
      </c>
      <c r="E5">
        <v>330</v>
      </c>
    </row>
    <row r="6" spans="1:5">
      <c r="A6" s="5" t="s">
        <v>18</v>
      </c>
      <c r="B6">
        <v>130</v>
      </c>
      <c r="C6">
        <v>189</v>
      </c>
      <c r="D6">
        <v>64</v>
      </c>
      <c r="E6">
        <v>383</v>
      </c>
    </row>
    <row r="7" spans="1:5">
      <c r="A7" s="5" t="s">
        <v>32</v>
      </c>
      <c r="B7">
        <v>126</v>
      </c>
      <c r="C7">
        <v>187</v>
      </c>
      <c r="D7">
        <v>55</v>
      </c>
      <c r="E7">
        <v>368</v>
      </c>
    </row>
    <row r="8" spans="1:5">
      <c r="A8" s="5" t="s">
        <v>23</v>
      </c>
      <c r="B8">
        <v>113</v>
      </c>
      <c r="C8">
        <v>162</v>
      </c>
      <c r="D8">
        <v>52</v>
      </c>
      <c r="E8">
        <v>327</v>
      </c>
    </row>
    <row r="9" spans="1:5">
      <c r="A9" s="5" t="s">
        <v>1452</v>
      </c>
      <c r="B9">
        <v>458</v>
      </c>
      <c r="C9">
        <v>729</v>
      </c>
      <c r="D9">
        <v>221</v>
      </c>
      <c r="E9">
        <v>1408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9"/>
  <sheetViews>
    <sheetView topLeftCell="V5" workbookViewId="0">
      <selection activeCell="Y21" sqref="Y21"/>
    </sheetView>
  </sheetViews>
  <sheetFormatPr defaultRowHeight="14"/>
  <cols>
    <col min="1" max="16" width="16" customWidth="1"/>
    <col min="17" max="17" width="11.6640625" customWidth="1"/>
    <col min="18" max="18" width="15.75" customWidth="1"/>
    <col min="20" max="20" width="19.08203125" customWidth="1"/>
    <col min="21" max="21" width="25.33203125" customWidth="1"/>
    <col min="22" max="22" width="16.9140625" customWidth="1"/>
  </cols>
  <sheetData>
    <row r="1" spans="1:25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1454</v>
      </c>
      <c r="R1" s="1" t="s">
        <v>1455</v>
      </c>
      <c r="U1" s="6" t="s">
        <v>1457</v>
      </c>
      <c r="V1" s="6" t="s">
        <v>1458</v>
      </c>
    </row>
    <row r="2" spans="1:25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>
        <f>COUNTIF($A:$A,A2)</f>
        <v>1</v>
      </c>
      <c r="R2" t="str">
        <f>IF(Q2&gt;1,"Duplicate ID","Unique ID")</f>
        <v>Unique ID</v>
      </c>
      <c r="T2" t="s">
        <v>1456</v>
      </c>
      <c r="U2">
        <f>_xlfn.QUARTILE.INC(L2:L1409,1)</f>
        <v>0</v>
      </c>
      <c r="V2" t="str">
        <f>IF(OR(L2&lt;$U$5,L2&gt;$U$6),"Yes","No")</f>
        <v>No</v>
      </c>
      <c r="Y2">
        <f>COUNTIFS(C:C,"Control",H:H,1)/COUNTIF(C:C,"Control")</f>
        <v>0.63636363636363635</v>
      </c>
    </row>
    <row r="3" spans="1:25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>
        <f t="shared" ref="Q3:Q66" si="0">COUNTIF($A:$A,A3)</f>
        <v>1</v>
      </c>
      <c r="R3" t="str">
        <f t="shared" ref="R3:R66" si="1">IF(Q3&gt;1,"Duplicate ID","Unique ID")</f>
        <v>Unique ID</v>
      </c>
      <c r="T3">
        <f>COUNTIF(R2:R1409,"Duplicate ID")</f>
        <v>16</v>
      </c>
      <c r="U3">
        <f>_xlfn.QUARTILE.INC(L2:L1409,3)</f>
        <v>0</v>
      </c>
      <c r="V3" t="str">
        <f t="shared" ref="V3:V66" si="2">IF(OR(L3&lt;$U$5,L3&gt;$U$6),"Yes","No")</f>
        <v>No</v>
      </c>
      <c r="W3" t="s">
        <v>1459</v>
      </c>
      <c r="Y3">
        <f>COUNTIFS(C:C,"Treatment",H:H,1)/COUNTIF(C:C,"Treatment")</f>
        <v>0.72587412587412592</v>
      </c>
    </row>
    <row r="4" spans="1:25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>
        <f t="shared" si="0"/>
        <v>1</v>
      </c>
      <c r="R4" t="str">
        <f t="shared" si="1"/>
        <v>Unique ID</v>
      </c>
      <c r="U4">
        <f>U3-U2</f>
        <v>0</v>
      </c>
      <c r="V4" t="str">
        <f t="shared" si="2"/>
        <v>No</v>
      </c>
      <c r="W4">
        <f>COUNTIF(V2:V1409,"Yes")</f>
        <v>72</v>
      </c>
      <c r="Y4">
        <f>COUNTIFS(C:C,"Control",I:I,1)/COUNTIF(C:C,"Control")</f>
        <v>0.25108225108225107</v>
      </c>
    </row>
    <row r="5" spans="1:25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>
        <f t="shared" si="0"/>
        <v>1</v>
      </c>
      <c r="R5" t="str">
        <f t="shared" si="1"/>
        <v>Unique ID</v>
      </c>
      <c r="U5">
        <f>U2-1.5*U4</f>
        <v>0</v>
      </c>
      <c r="V5" t="str">
        <f t="shared" si="2"/>
        <v>No</v>
      </c>
      <c r="Y5">
        <f>COUNTIFS(C:C,"Treatment",I:I,1)/COUNTIF(C:C,"Treatment")</f>
        <v>0.29090909090909089</v>
      </c>
    </row>
    <row r="6" spans="1:25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>
        <f t="shared" si="0"/>
        <v>1</v>
      </c>
      <c r="R6" t="str">
        <f t="shared" si="1"/>
        <v>Unique ID</v>
      </c>
      <c r="U6">
        <f>U3+1.5*U4</f>
        <v>0</v>
      </c>
      <c r="V6" t="str">
        <f t="shared" si="2"/>
        <v>No</v>
      </c>
      <c r="Y6">
        <f>COUNTIFS(C:C,"Control",J:J,1)/COUNTIF(C:C,"Control")</f>
        <v>0.15584415584415584</v>
      </c>
    </row>
    <row r="7" spans="1:25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>
        <f t="shared" si="0"/>
        <v>1</v>
      </c>
      <c r="R7" t="str">
        <f t="shared" si="1"/>
        <v>Unique ID</v>
      </c>
      <c r="V7" t="str">
        <f t="shared" si="2"/>
        <v>No</v>
      </c>
      <c r="Y7">
        <f>COUNTIFS(C:C,"Treatment",J:J,1)/COUNTIF(C:C,"Treatment")</f>
        <v>0.21258741258741259</v>
      </c>
    </row>
    <row r="8" spans="1:25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>
        <f t="shared" si="0"/>
        <v>1</v>
      </c>
      <c r="R8" t="str">
        <f t="shared" si="1"/>
        <v>Unique ID</v>
      </c>
      <c r="V8" t="str">
        <f t="shared" si="2"/>
        <v>No</v>
      </c>
      <c r="Y8">
        <f>COUNTIFS(C:C,"Control",K:K,1)/COUNTIF(C:C,"Control")</f>
        <v>3.1746031746031744E-2</v>
      </c>
    </row>
    <row r="9" spans="1:25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>
        <f t="shared" si="0"/>
        <v>1</v>
      </c>
      <c r="R9" t="str">
        <f t="shared" si="1"/>
        <v>Unique ID</v>
      </c>
      <c r="V9" t="str">
        <f t="shared" si="2"/>
        <v>No</v>
      </c>
      <c r="Y9">
        <f>COUNTIFS(C:C,"Treatment",K:K,1)/COUNTIF(C:C,"Treatment")</f>
        <v>6.9930069930069935E-2</v>
      </c>
    </row>
    <row r="10" spans="1:25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>
        <f t="shared" si="0"/>
        <v>1</v>
      </c>
      <c r="R10" t="str">
        <f t="shared" si="1"/>
        <v>Unique ID</v>
      </c>
      <c r="V10" t="str">
        <f t="shared" si="2"/>
        <v>No</v>
      </c>
      <c r="Y10">
        <f>SUMIFS(L:L,C:C,"Control")/COUNTIF(C:C,"Control")</f>
        <v>51.74932178932179</v>
      </c>
    </row>
    <row r="11" spans="1:25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>
        <f t="shared" si="0"/>
        <v>1</v>
      </c>
      <c r="R11" t="str">
        <f t="shared" si="1"/>
        <v>Unique ID</v>
      </c>
      <c r="V11" t="str">
        <f t="shared" si="2"/>
        <v>No</v>
      </c>
      <c r="Y11">
        <f>SUMIFS(L:L,C:C,"Treatment")/COUNTIF(C:C,"Treatment")</f>
        <v>53.875118881118873</v>
      </c>
    </row>
    <row r="12" spans="1:25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>
        <f t="shared" si="0"/>
        <v>1</v>
      </c>
      <c r="R12" t="str">
        <f t="shared" si="1"/>
        <v>Unique ID</v>
      </c>
      <c r="V12" t="str">
        <f t="shared" si="2"/>
        <v>No</v>
      </c>
      <c r="Y12">
        <f>SUMIFS(L:L,C:C,"Control")/COUNTIFS(C:C,"Control",K:K,1)</f>
        <v>1630.1036363636363</v>
      </c>
    </row>
    <row r="13" spans="1:25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>
        <f t="shared" si="0"/>
        <v>1</v>
      </c>
      <c r="R13" t="str">
        <f t="shared" si="1"/>
        <v>Unique ID</v>
      </c>
      <c r="V13" t="str">
        <f t="shared" si="2"/>
        <v>No</v>
      </c>
      <c r="Y13">
        <f>SUMIFS(L:L,C:C,"Treatment")/COUNTIFS(C:C,"Treatment",K:K,1)</f>
        <v>770.41419999999982</v>
      </c>
    </row>
    <row r="14" spans="1:25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>
        <f t="shared" si="0"/>
        <v>1</v>
      </c>
      <c r="R14" t="str">
        <f t="shared" si="1"/>
        <v>Unique ID</v>
      </c>
      <c r="V14" t="str">
        <f t="shared" si="2"/>
        <v>No</v>
      </c>
      <c r="Y14">
        <f>COUNTIFS(C:C,"Control",N:N,1)/COUNTIF(C:C,"Control")</f>
        <v>0</v>
      </c>
    </row>
    <row r="15" spans="1:25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>
        <f t="shared" si="0"/>
        <v>1</v>
      </c>
      <c r="R15" t="str">
        <f t="shared" si="1"/>
        <v>Unique ID</v>
      </c>
      <c r="V15" t="str">
        <f t="shared" si="2"/>
        <v>No</v>
      </c>
      <c r="Y15">
        <f>COUNTIFS(C:C,"Treatment",N:N,1)/COUNTIF(C:C,"Treatment")</f>
        <v>4.1958041958041958E-3</v>
      </c>
    </row>
    <row r="16" spans="1:25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>
        <f t="shared" si="0"/>
        <v>1</v>
      </c>
      <c r="R16" t="str">
        <f t="shared" si="1"/>
        <v>Unique ID</v>
      </c>
      <c r="V16" t="str">
        <f t="shared" si="2"/>
        <v>No</v>
      </c>
      <c r="Y16">
        <f>COUNTIFS(C:C,"Control",M:M,"&gt;0")/COUNTIF(C:C,"Control")</f>
        <v>0.1471861471861472</v>
      </c>
    </row>
    <row r="17" spans="1:25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>
        <f t="shared" si="0"/>
        <v>1</v>
      </c>
      <c r="R17" t="str">
        <f t="shared" si="1"/>
        <v>Unique ID</v>
      </c>
      <c r="V17" t="str">
        <f t="shared" si="2"/>
        <v>No</v>
      </c>
      <c r="Y17">
        <f>COUNTIFS(C:C,"Treatment",M:M,"&gt;0")/COUNTIF(C:C,"Treatment")</f>
        <v>0.24755244755244754</v>
      </c>
    </row>
    <row r="18" spans="1:25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>
        <f t="shared" si="0"/>
        <v>1</v>
      </c>
      <c r="R18" t="str">
        <f t="shared" si="1"/>
        <v>Unique ID</v>
      </c>
      <c r="V18" t="str">
        <f t="shared" si="2"/>
        <v>No</v>
      </c>
      <c r="Y18">
        <f>AVERAGEIFS(P:P,C:C,"Control")</f>
        <v>57.026200873362491</v>
      </c>
    </row>
    <row r="19" spans="1:25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>
        <f t="shared" si="0"/>
        <v>1</v>
      </c>
      <c r="R19" t="str">
        <f t="shared" si="1"/>
        <v>Unique ID</v>
      </c>
      <c r="V19" t="str">
        <f t="shared" si="2"/>
        <v>No</v>
      </c>
      <c r="Y19">
        <f>AVERAGEIFS(P:P,C:C,"Treatment")</f>
        <v>62.931966053748233</v>
      </c>
    </row>
    <row r="20" spans="1:25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>
        <f t="shared" si="0"/>
        <v>1</v>
      </c>
      <c r="R20" t="str">
        <f t="shared" si="1"/>
        <v>Unique ID</v>
      </c>
      <c r="V20" t="str">
        <f t="shared" si="2"/>
        <v>No</v>
      </c>
      <c r="Y20">
        <f>AVERAGEIFS(O:O,C:C,"Control")</f>
        <v>8.8636363636363633</v>
      </c>
    </row>
    <row r="21" spans="1:25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>
        <f t="shared" si="0"/>
        <v>1</v>
      </c>
      <c r="R21" t="str">
        <f t="shared" si="1"/>
        <v>Unique ID</v>
      </c>
      <c r="V21" t="str">
        <f t="shared" si="2"/>
        <v>No</v>
      </c>
      <c r="Y21">
        <f>AVERAGEIFS(O:O,C:C,"Treatment")</f>
        <v>6.4</v>
      </c>
    </row>
    <row r="22" spans="1:25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>
        <f t="shared" si="0"/>
        <v>1</v>
      </c>
      <c r="R22" t="str">
        <f t="shared" si="1"/>
        <v>Unique ID</v>
      </c>
      <c r="V22" t="str">
        <f t="shared" si="2"/>
        <v>No</v>
      </c>
    </row>
    <row r="23" spans="1:25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>
        <f t="shared" si="0"/>
        <v>1</v>
      </c>
      <c r="R23" t="str">
        <f t="shared" si="1"/>
        <v>Unique ID</v>
      </c>
      <c r="V23" t="str">
        <f t="shared" si="2"/>
        <v>No</v>
      </c>
    </row>
    <row r="24" spans="1:25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>
        <f t="shared" si="0"/>
        <v>1</v>
      </c>
      <c r="R24" t="str">
        <f t="shared" si="1"/>
        <v>Unique ID</v>
      </c>
      <c r="V24" t="str">
        <f t="shared" si="2"/>
        <v>No</v>
      </c>
    </row>
    <row r="25" spans="1:25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>
        <f t="shared" si="0"/>
        <v>1</v>
      </c>
      <c r="R25" t="str">
        <f t="shared" si="1"/>
        <v>Unique ID</v>
      </c>
      <c r="V25" t="str">
        <f t="shared" si="2"/>
        <v>No</v>
      </c>
    </row>
    <row r="26" spans="1:25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>
        <f t="shared" si="0"/>
        <v>1</v>
      </c>
      <c r="R26" t="str">
        <f t="shared" si="1"/>
        <v>Unique ID</v>
      </c>
      <c r="V26" t="str">
        <f t="shared" si="2"/>
        <v>No</v>
      </c>
    </row>
    <row r="27" spans="1:25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>
        <f t="shared" si="0"/>
        <v>1</v>
      </c>
      <c r="R27" t="str">
        <f t="shared" si="1"/>
        <v>Unique ID</v>
      </c>
      <c r="V27" t="str">
        <f t="shared" si="2"/>
        <v>No</v>
      </c>
    </row>
    <row r="28" spans="1:25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>
        <f t="shared" si="0"/>
        <v>1</v>
      </c>
      <c r="R28" t="str">
        <f t="shared" si="1"/>
        <v>Unique ID</v>
      </c>
      <c r="V28" t="str">
        <f t="shared" si="2"/>
        <v>No</v>
      </c>
    </row>
    <row r="29" spans="1:25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>
        <f t="shared" si="0"/>
        <v>1</v>
      </c>
      <c r="R29" t="str">
        <f t="shared" si="1"/>
        <v>Unique ID</v>
      </c>
      <c r="V29" t="str">
        <f t="shared" si="2"/>
        <v>No</v>
      </c>
    </row>
    <row r="30" spans="1:25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>
        <f t="shared" si="0"/>
        <v>1</v>
      </c>
      <c r="R30" t="str">
        <f t="shared" si="1"/>
        <v>Unique ID</v>
      </c>
      <c r="V30" t="str">
        <f t="shared" si="2"/>
        <v>No</v>
      </c>
    </row>
    <row r="31" spans="1:25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>
        <f t="shared" si="0"/>
        <v>1</v>
      </c>
      <c r="R31" t="str">
        <f t="shared" si="1"/>
        <v>Unique ID</v>
      </c>
      <c r="V31" t="str">
        <f t="shared" si="2"/>
        <v>No</v>
      </c>
    </row>
    <row r="32" spans="1:25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>
        <f t="shared" si="0"/>
        <v>1</v>
      </c>
      <c r="R32" t="str">
        <f t="shared" si="1"/>
        <v>Unique ID</v>
      </c>
      <c r="V32" t="str">
        <f t="shared" si="2"/>
        <v>No</v>
      </c>
    </row>
    <row r="33" spans="1:22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>
        <f t="shared" si="0"/>
        <v>1</v>
      </c>
      <c r="R33" t="str">
        <f t="shared" si="1"/>
        <v>Unique ID</v>
      </c>
      <c r="V33" t="str">
        <f t="shared" si="2"/>
        <v>No</v>
      </c>
    </row>
    <row r="34" spans="1:22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>
        <f t="shared" si="0"/>
        <v>1</v>
      </c>
      <c r="R34" t="str">
        <f t="shared" si="1"/>
        <v>Unique ID</v>
      </c>
      <c r="V34" t="str">
        <f t="shared" si="2"/>
        <v>No</v>
      </c>
    </row>
    <row r="35" spans="1:22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>
        <f t="shared" si="0"/>
        <v>1</v>
      </c>
      <c r="R35" t="str">
        <f t="shared" si="1"/>
        <v>Unique ID</v>
      </c>
      <c r="V35" t="str">
        <f t="shared" si="2"/>
        <v>No</v>
      </c>
    </row>
    <row r="36" spans="1:22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>
        <f t="shared" si="0"/>
        <v>1</v>
      </c>
      <c r="R36" t="str">
        <f t="shared" si="1"/>
        <v>Unique ID</v>
      </c>
      <c r="V36" t="str">
        <f t="shared" si="2"/>
        <v>No</v>
      </c>
    </row>
    <row r="37" spans="1:22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>
        <f t="shared" si="0"/>
        <v>1</v>
      </c>
      <c r="R37" t="str">
        <f t="shared" si="1"/>
        <v>Unique ID</v>
      </c>
      <c r="V37" t="str">
        <f t="shared" si="2"/>
        <v>No</v>
      </c>
    </row>
    <row r="38" spans="1:22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>
        <f t="shared" si="0"/>
        <v>1</v>
      </c>
      <c r="R38" t="str">
        <f t="shared" si="1"/>
        <v>Unique ID</v>
      </c>
      <c r="V38" t="str">
        <f t="shared" si="2"/>
        <v>No</v>
      </c>
    </row>
    <row r="39" spans="1:22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>
        <f t="shared" si="0"/>
        <v>1</v>
      </c>
      <c r="R39" t="str">
        <f t="shared" si="1"/>
        <v>Unique ID</v>
      </c>
      <c r="V39" t="str">
        <f t="shared" si="2"/>
        <v>No</v>
      </c>
    </row>
    <row r="40" spans="1:22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>
        <f t="shared" si="0"/>
        <v>1</v>
      </c>
      <c r="R40" t="str">
        <f t="shared" si="1"/>
        <v>Unique ID</v>
      </c>
      <c r="V40" t="str">
        <f t="shared" si="2"/>
        <v>No</v>
      </c>
    </row>
    <row r="41" spans="1:22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>
        <f t="shared" si="0"/>
        <v>1</v>
      </c>
      <c r="R41" t="str">
        <f t="shared" si="1"/>
        <v>Unique ID</v>
      </c>
      <c r="V41" t="str">
        <f t="shared" si="2"/>
        <v>No</v>
      </c>
    </row>
    <row r="42" spans="1:22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>
        <f t="shared" si="0"/>
        <v>1</v>
      </c>
      <c r="R42" t="str">
        <f t="shared" si="1"/>
        <v>Unique ID</v>
      </c>
      <c r="V42" t="str">
        <f t="shared" si="2"/>
        <v>No</v>
      </c>
    </row>
    <row r="43" spans="1:22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>
        <f t="shared" si="0"/>
        <v>1</v>
      </c>
      <c r="R43" t="str">
        <f t="shared" si="1"/>
        <v>Unique ID</v>
      </c>
      <c r="V43" t="str">
        <f t="shared" si="2"/>
        <v>No</v>
      </c>
    </row>
    <row r="44" spans="1:22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>
        <f t="shared" si="0"/>
        <v>1</v>
      </c>
      <c r="R44" t="str">
        <f t="shared" si="1"/>
        <v>Unique ID</v>
      </c>
      <c r="V44" t="str">
        <f t="shared" si="2"/>
        <v>No</v>
      </c>
    </row>
    <row r="45" spans="1:22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>
        <f t="shared" si="0"/>
        <v>1</v>
      </c>
      <c r="R45" t="str">
        <f t="shared" si="1"/>
        <v>Unique ID</v>
      </c>
      <c r="V45" t="str">
        <f t="shared" si="2"/>
        <v>No</v>
      </c>
    </row>
    <row r="46" spans="1:22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>
        <f t="shared" si="0"/>
        <v>1</v>
      </c>
      <c r="R46" t="str">
        <f t="shared" si="1"/>
        <v>Unique ID</v>
      </c>
      <c r="V46" t="str">
        <f t="shared" si="2"/>
        <v>No</v>
      </c>
    </row>
    <row r="47" spans="1:22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>
        <f t="shared" si="0"/>
        <v>1</v>
      </c>
      <c r="R47" t="str">
        <f t="shared" si="1"/>
        <v>Unique ID</v>
      </c>
      <c r="V47" t="str">
        <f t="shared" si="2"/>
        <v>No</v>
      </c>
    </row>
    <row r="48" spans="1:22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>
        <f t="shared" si="0"/>
        <v>1</v>
      </c>
      <c r="R48" t="str">
        <f t="shared" si="1"/>
        <v>Unique ID</v>
      </c>
      <c r="V48" t="str">
        <f t="shared" si="2"/>
        <v>No</v>
      </c>
    </row>
    <row r="49" spans="1:22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>
        <f t="shared" si="0"/>
        <v>1</v>
      </c>
      <c r="R49" t="str">
        <f t="shared" si="1"/>
        <v>Unique ID</v>
      </c>
      <c r="V49" t="str">
        <f t="shared" si="2"/>
        <v>No</v>
      </c>
    </row>
    <row r="50" spans="1:22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>
        <f t="shared" si="0"/>
        <v>1</v>
      </c>
      <c r="R50" t="str">
        <f t="shared" si="1"/>
        <v>Unique ID</v>
      </c>
      <c r="V50" t="str">
        <f t="shared" si="2"/>
        <v>No</v>
      </c>
    </row>
    <row r="51" spans="1:22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>
        <f t="shared" si="0"/>
        <v>1</v>
      </c>
      <c r="R51" t="str">
        <f t="shared" si="1"/>
        <v>Unique ID</v>
      </c>
      <c r="V51" t="str">
        <f t="shared" si="2"/>
        <v>No</v>
      </c>
    </row>
    <row r="52" spans="1:22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>
        <f t="shared" si="0"/>
        <v>1</v>
      </c>
      <c r="R52" t="str">
        <f t="shared" si="1"/>
        <v>Unique ID</v>
      </c>
      <c r="V52" t="str">
        <f t="shared" si="2"/>
        <v>No</v>
      </c>
    </row>
    <row r="53" spans="1:22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>
        <f t="shared" si="0"/>
        <v>1</v>
      </c>
      <c r="R53" t="str">
        <f t="shared" si="1"/>
        <v>Unique ID</v>
      </c>
      <c r="V53" t="str">
        <f t="shared" si="2"/>
        <v>No</v>
      </c>
    </row>
    <row r="54" spans="1:22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>
        <f t="shared" si="0"/>
        <v>1</v>
      </c>
      <c r="R54" t="str">
        <f t="shared" si="1"/>
        <v>Unique ID</v>
      </c>
      <c r="V54" t="str">
        <f t="shared" si="2"/>
        <v>No</v>
      </c>
    </row>
    <row r="55" spans="1:22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>
        <f t="shared" si="0"/>
        <v>1</v>
      </c>
      <c r="R55" t="str">
        <f t="shared" si="1"/>
        <v>Unique ID</v>
      </c>
      <c r="V55" t="str">
        <f t="shared" si="2"/>
        <v>No</v>
      </c>
    </row>
    <row r="56" spans="1:22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>
        <f t="shared" si="0"/>
        <v>1</v>
      </c>
      <c r="R56" t="str">
        <f t="shared" si="1"/>
        <v>Unique ID</v>
      </c>
      <c r="V56" t="str">
        <f t="shared" si="2"/>
        <v>No</v>
      </c>
    </row>
    <row r="57" spans="1:22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>
        <f t="shared" si="0"/>
        <v>1</v>
      </c>
      <c r="R57" t="str">
        <f t="shared" si="1"/>
        <v>Unique ID</v>
      </c>
      <c r="V57" t="str">
        <f t="shared" si="2"/>
        <v>No</v>
      </c>
    </row>
    <row r="58" spans="1:22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>
        <f t="shared" si="0"/>
        <v>1</v>
      </c>
      <c r="R58" t="str">
        <f t="shared" si="1"/>
        <v>Unique ID</v>
      </c>
      <c r="V58" t="str">
        <f t="shared" si="2"/>
        <v>No</v>
      </c>
    </row>
    <row r="59" spans="1:22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>
        <f t="shared" si="0"/>
        <v>1</v>
      </c>
      <c r="R59" t="str">
        <f t="shared" si="1"/>
        <v>Unique ID</v>
      </c>
      <c r="V59" t="str">
        <f t="shared" si="2"/>
        <v>No</v>
      </c>
    </row>
    <row r="60" spans="1:22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>
        <f t="shared" si="0"/>
        <v>1</v>
      </c>
      <c r="R60" t="str">
        <f t="shared" si="1"/>
        <v>Unique ID</v>
      </c>
      <c r="V60" t="str">
        <f t="shared" si="2"/>
        <v>No</v>
      </c>
    </row>
    <row r="61" spans="1:22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>
        <f t="shared" si="0"/>
        <v>1</v>
      </c>
      <c r="R61" t="str">
        <f t="shared" si="1"/>
        <v>Unique ID</v>
      </c>
      <c r="V61" t="str">
        <f t="shared" si="2"/>
        <v>Yes</v>
      </c>
    </row>
    <row r="62" spans="1:22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>
        <f t="shared" si="0"/>
        <v>1</v>
      </c>
      <c r="R62" t="str">
        <f t="shared" si="1"/>
        <v>Unique ID</v>
      </c>
      <c r="V62" t="str">
        <f t="shared" si="2"/>
        <v>No</v>
      </c>
    </row>
    <row r="63" spans="1:22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>
        <f t="shared" si="0"/>
        <v>1</v>
      </c>
      <c r="R63" t="str">
        <f t="shared" si="1"/>
        <v>Unique ID</v>
      </c>
      <c r="V63" t="str">
        <f t="shared" si="2"/>
        <v>No</v>
      </c>
    </row>
    <row r="64" spans="1:22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>
        <f t="shared" si="0"/>
        <v>1</v>
      </c>
      <c r="R64" t="str">
        <f t="shared" si="1"/>
        <v>Unique ID</v>
      </c>
      <c r="V64" t="str">
        <f t="shared" si="2"/>
        <v>No</v>
      </c>
    </row>
    <row r="65" spans="1:22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>
        <f t="shared" si="0"/>
        <v>1</v>
      </c>
      <c r="R65" t="str">
        <f t="shared" si="1"/>
        <v>Unique ID</v>
      </c>
      <c r="V65" t="str">
        <f t="shared" si="2"/>
        <v>No</v>
      </c>
    </row>
    <row r="66" spans="1:22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>
        <f t="shared" si="0"/>
        <v>1</v>
      </c>
      <c r="R66" t="str">
        <f t="shared" si="1"/>
        <v>Unique ID</v>
      </c>
      <c r="V66" t="str">
        <f t="shared" si="2"/>
        <v>No</v>
      </c>
    </row>
    <row r="67" spans="1:22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>
        <f t="shared" ref="Q67:Q130" si="3">COUNTIF($A:$A,A67)</f>
        <v>1</v>
      </c>
      <c r="R67" t="str">
        <f t="shared" ref="R67:R130" si="4">IF(Q67&gt;1,"Duplicate ID","Unique ID")</f>
        <v>Unique ID</v>
      </c>
      <c r="V67" t="str">
        <f t="shared" ref="V67:V130" si="5">IF(OR(L67&lt;$U$5,L67&gt;$U$6),"Yes","No")</f>
        <v>No</v>
      </c>
    </row>
    <row r="68" spans="1:22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>
        <f t="shared" si="3"/>
        <v>1</v>
      </c>
      <c r="R68" t="str">
        <f t="shared" si="4"/>
        <v>Unique ID</v>
      </c>
      <c r="V68" t="str">
        <f t="shared" si="5"/>
        <v>No</v>
      </c>
    </row>
    <row r="69" spans="1:22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>
        <f t="shared" si="3"/>
        <v>1</v>
      </c>
      <c r="R69" t="str">
        <f t="shared" si="4"/>
        <v>Unique ID</v>
      </c>
      <c r="V69" t="str">
        <f t="shared" si="5"/>
        <v>No</v>
      </c>
    </row>
    <row r="70" spans="1:22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>
        <f t="shared" si="3"/>
        <v>1</v>
      </c>
      <c r="R70" t="str">
        <f t="shared" si="4"/>
        <v>Unique ID</v>
      </c>
      <c r="V70" t="str">
        <f t="shared" si="5"/>
        <v>No</v>
      </c>
    </row>
    <row r="71" spans="1:22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>
        <f t="shared" si="3"/>
        <v>1</v>
      </c>
      <c r="R71" t="str">
        <f t="shared" si="4"/>
        <v>Unique ID</v>
      </c>
      <c r="V71" t="str">
        <f t="shared" si="5"/>
        <v>No</v>
      </c>
    </row>
    <row r="72" spans="1:22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>
        <f t="shared" si="3"/>
        <v>1</v>
      </c>
      <c r="R72" t="str">
        <f t="shared" si="4"/>
        <v>Unique ID</v>
      </c>
      <c r="V72" t="str">
        <f t="shared" si="5"/>
        <v>No</v>
      </c>
    </row>
    <row r="73" spans="1:22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>
        <f t="shared" si="3"/>
        <v>1</v>
      </c>
      <c r="R73" t="str">
        <f t="shared" si="4"/>
        <v>Unique ID</v>
      </c>
      <c r="V73" t="str">
        <f t="shared" si="5"/>
        <v>No</v>
      </c>
    </row>
    <row r="74" spans="1:22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>
        <f t="shared" si="3"/>
        <v>1</v>
      </c>
      <c r="R74" t="str">
        <f t="shared" si="4"/>
        <v>Unique ID</v>
      </c>
      <c r="V74" t="str">
        <f t="shared" si="5"/>
        <v>No</v>
      </c>
    </row>
    <row r="75" spans="1:22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>
        <f t="shared" si="3"/>
        <v>1</v>
      </c>
      <c r="R75" t="str">
        <f t="shared" si="4"/>
        <v>Unique ID</v>
      </c>
      <c r="V75" t="str">
        <f t="shared" si="5"/>
        <v>No</v>
      </c>
    </row>
    <row r="76" spans="1:22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>
        <f t="shared" si="3"/>
        <v>1</v>
      </c>
      <c r="R76" t="str">
        <f t="shared" si="4"/>
        <v>Unique ID</v>
      </c>
      <c r="V76" t="str">
        <f t="shared" si="5"/>
        <v>No</v>
      </c>
    </row>
    <row r="77" spans="1:22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>
        <f t="shared" si="3"/>
        <v>1</v>
      </c>
      <c r="R77" t="str">
        <f t="shared" si="4"/>
        <v>Unique ID</v>
      </c>
      <c r="V77" t="str">
        <f t="shared" si="5"/>
        <v>No</v>
      </c>
    </row>
    <row r="78" spans="1:22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>
        <f t="shared" si="3"/>
        <v>1</v>
      </c>
      <c r="R78" t="str">
        <f t="shared" si="4"/>
        <v>Unique ID</v>
      </c>
      <c r="V78" t="str">
        <f t="shared" si="5"/>
        <v>No</v>
      </c>
    </row>
    <row r="79" spans="1:22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>
        <f t="shared" si="3"/>
        <v>1</v>
      </c>
      <c r="R79" t="str">
        <f t="shared" si="4"/>
        <v>Unique ID</v>
      </c>
      <c r="V79" t="str">
        <f t="shared" si="5"/>
        <v>No</v>
      </c>
    </row>
    <row r="80" spans="1:22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>
        <f t="shared" si="3"/>
        <v>1</v>
      </c>
      <c r="R80" t="str">
        <f t="shared" si="4"/>
        <v>Unique ID</v>
      </c>
      <c r="V80" t="str">
        <f t="shared" si="5"/>
        <v>Yes</v>
      </c>
    </row>
    <row r="81" spans="1:22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>
        <f t="shared" si="3"/>
        <v>1</v>
      </c>
      <c r="R81" t="str">
        <f t="shared" si="4"/>
        <v>Unique ID</v>
      </c>
      <c r="V81" t="str">
        <f t="shared" si="5"/>
        <v>No</v>
      </c>
    </row>
    <row r="82" spans="1:22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>
        <f t="shared" si="3"/>
        <v>1</v>
      </c>
      <c r="R82" t="str">
        <f t="shared" si="4"/>
        <v>Unique ID</v>
      </c>
      <c r="V82" t="str">
        <f t="shared" si="5"/>
        <v>No</v>
      </c>
    </row>
    <row r="83" spans="1:22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>
        <f t="shared" si="3"/>
        <v>1</v>
      </c>
      <c r="R83" t="str">
        <f t="shared" si="4"/>
        <v>Unique ID</v>
      </c>
      <c r="V83" t="str">
        <f t="shared" si="5"/>
        <v>No</v>
      </c>
    </row>
    <row r="84" spans="1:22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>
        <f t="shared" si="3"/>
        <v>1</v>
      </c>
      <c r="R84" t="str">
        <f t="shared" si="4"/>
        <v>Unique ID</v>
      </c>
      <c r="V84" t="str">
        <f t="shared" si="5"/>
        <v>No</v>
      </c>
    </row>
    <row r="85" spans="1:22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>
        <f t="shared" si="3"/>
        <v>1</v>
      </c>
      <c r="R85" t="str">
        <f t="shared" si="4"/>
        <v>Unique ID</v>
      </c>
      <c r="V85" t="str">
        <f t="shared" si="5"/>
        <v>No</v>
      </c>
    </row>
    <row r="86" spans="1:22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>
        <f t="shared" si="3"/>
        <v>1</v>
      </c>
      <c r="R86" t="str">
        <f t="shared" si="4"/>
        <v>Unique ID</v>
      </c>
      <c r="V86" t="str">
        <f t="shared" si="5"/>
        <v>No</v>
      </c>
    </row>
    <row r="87" spans="1:22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>
        <f t="shared" si="3"/>
        <v>1</v>
      </c>
      <c r="R87" t="str">
        <f t="shared" si="4"/>
        <v>Unique ID</v>
      </c>
      <c r="V87" t="str">
        <f t="shared" si="5"/>
        <v>No</v>
      </c>
    </row>
    <row r="88" spans="1:22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>
        <f t="shared" si="3"/>
        <v>1</v>
      </c>
      <c r="R88" t="str">
        <f t="shared" si="4"/>
        <v>Unique ID</v>
      </c>
      <c r="V88" t="str">
        <f t="shared" si="5"/>
        <v>No</v>
      </c>
    </row>
    <row r="89" spans="1:22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>
        <f t="shared" si="3"/>
        <v>1</v>
      </c>
      <c r="R89" t="str">
        <f t="shared" si="4"/>
        <v>Unique ID</v>
      </c>
      <c r="V89" t="str">
        <f t="shared" si="5"/>
        <v>No</v>
      </c>
    </row>
    <row r="90" spans="1:22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>
        <f t="shared" si="3"/>
        <v>1</v>
      </c>
      <c r="R90" t="str">
        <f t="shared" si="4"/>
        <v>Unique ID</v>
      </c>
      <c r="V90" t="str">
        <f t="shared" si="5"/>
        <v>No</v>
      </c>
    </row>
    <row r="91" spans="1:22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>
        <f t="shared" si="3"/>
        <v>1</v>
      </c>
      <c r="R91" t="str">
        <f t="shared" si="4"/>
        <v>Unique ID</v>
      </c>
      <c r="V91" t="str">
        <f t="shared" si="5"/>
        <v>No</v>
      </c>
    </row>
    <row r="92" spans="1:22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>
        <f t="shared" si="3"/>
        <v>1</v>
      </c>
      <c r="R92" t="str">
        <f t="shared" si="4"/>
        <v>Unique ID</v>
      </c>
      <c r="V92" t="str">
        <f t="shared" si="5"/>
        <v>No</v>
      </c>
    </row>
    <row r="93" spans="1:22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>
        <f t="shared" si="3"/>
        <v>1</v>
      </c>
      <c r="R93" t="str">
        <f t="shared" si="4"/>
        <v>Unique ID</v>
      </c>
      <c r="V93" t="str">
        <f t="shared" si="5"/>
        <v>No</v>
      </c>
    </row>
    <row r="94" spans="1:22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>
        <f t="shared" si="3"/>
        <v>1</v>
      </c>
      <c r="R94" t="str">
        <f t="shared" si="4"/>
        <v>Unique ID</v>
      </c>
      <c r="V94" t="str">
        <f t="shared" si="5"/>
        <v>No</v>
      </c>
    </row>
    <row r="95" spans="1:22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>
        <f t="shared" si="3"/>
        <v>1</v>
      </c>
      <c r="R95" t="str">
        <f t="shared" si="4"/>
        <v>Unique ID</v>
      </c>
      <c r="V95" t="str">
        <f t="shared" si="5"/>
        <v>No</v>
      </c>
    </row>
    <row r="96" spans="1:22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>
        <f t="shared" si="3"/>
        <v>1</v>
      </c>
      <c r="R96" t="str">
        <f t="shared" si="4"/>
        <v>Unique ID</v>
      </c>
      <c r="V96" t="str">
        <f t="shared" si="5"/>
        <v>No</v>
      </c>
    </row>
    <row r="97" spans="1:22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>
        <f t="shared" si="3"/>
        <v>2</v>
      </c>
      <c r="R97" t="str">
        <f t="shared" si="4"/>
        <v>Duplicate ID</v>
      </c>
      <c r="V97" t="str">
        <f t="shared" si="5"/>
        <v>No</v>
      </c>
    </row>
    <row r="98" spans="1:22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>
        <f t="shared" si="3"/>
        <v>1</v>
      </c>
      <c r="R98" t="str">
        <f t="shared" si="4"/>
        <v>Unique ID</v>
      </c>
      <c r="V98" t="str">
        <f t="shared" si="5"/>
        <v>No</v>
      </c>
    </row>
    <row r="99" spans="1:22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>
        <f t="shared" si="3"/>
        <v>1</v>
      </c>
      <c r="R99" t="str">
        <f t="shared" si="4"/>
        <v>Unique ID</v>
      </c>
      <c r="V99" t="str">
        <f t="shared" si="5"/>
        <v>No</v>
      </c>
    </row>
    <row r="100" spans="1:22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>
        <f t="shared" si="3"/>
        <v>1</v>
      </c>
      <c r="R100" t="str">
        <f t="shared" si="4"/>
        <v>Unique ID</v>
      </c>
      <c r="V100" t="str">
        <f t="shared" si="5"/>
        <v>Yes</v>
      </c>
    </row>
    <row r="101" spans="1:22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>
        <f t="shared" si="3"/>
        <v>1</v>
      </c>
      <c r="R101" t="str">
        <f t="shared" si="4"/>
        <v>Unique ID</v>
      </c>
      <c r="V101" t="str">
        <f t="shared" si="5"/>
        <v>No</v>
      </c>
    </row>
    <row r="102" spans="1:22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>
        <f t="shared" si="3"/>
        <v>1</v>
      </c>
      <c r="R102" t="str">
        <f t="shared" si="4"/>
        <v>Unique ID</v>
      </c>
      <c r="V102" t="str">
        <f t="shared" si="5"/>
        <v>No</v>
      </c>
    </row>
    <row r="103" spans="1:22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>
        <f t="shared" si="3"/>
        <v>1</v>
      </c>
      <c r="R103" t="str">
        <f t="shared" si="4"/>
        <v>Unique ID</v>
      </c>
      <c r="V103" t="str">
        <f t="shared" si="5"/>
        <v>No</v>
      </c>
    </row>
    <row r="104" spans="1:22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>
        <f t="shared" si="3"/>
        <v>1</v>
      </c>
      <c r="R104" t="str">
        <f t="shared" si="4"/>
        <v>Unique ID</v>
      </c>
      <c r="V104" t="str">
        <f t="shared" si="5"/>
        <v>Yes</v>
      </c>
    </row>
    <row r="105" spans="1:22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>
        <f t="shared" si="3"/>
        <v>1</v>
      </c>
      <c r="R105" t="str">
        <f t="shared" si="4"/>
        <v>Unique ID</v>
      </c>
      <c r="V105" t="str">
        <f t="shared" si="5"/>
        <v>No</v>
      </c>
    </row>
    <row r="106" spans="1:22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>
        <f t="shared" si="3"/>
        <v>1</v>
      </c>
      <c r="R106" t="str">
        <f t="shared" si="4"/>
        <v>Unique ID</v>
      </c>
      <c r="V106" t="str">
        <f t="shared" si="5"/>
        <v>No</v>
      </c>
    </row>
    <row r="107" spans="1:22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>
        <f t="shared" si="3"/>
        <v>1</v>
      </c>
      <c r="R107" t="str">
        <f t="shared" si="4"/>
        <v>Unique ID</v>
      </c>
      <c r="V107" t="str">
        <f t="shared" si="5"/>
        <v>Yes</v>
      </c>
    </row>
    <row r="108" spans="1:22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>
        <f t="shared" si="3"/>
        <v>1</v>
      </c>
      <c r="R108" t="str">
        <f t="shared" si="4"/>
        <v>Unique ID</v>
      </c>
      <c r="V108" t="str">
        <f t="shared" si="5"/>
        <v>No</v>
      </c>
    </row>
    <row r="109" spans="1:22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>
        <f t="shared" si="3"/>
        <v>1</v>
      </c>
      <c r="R109" t="str">
        <f t="shared" si="4"/>
        <v>Unique ID</v>
      </c>
      <c r="V109" t="str">
        <f t="shared" si="5"/>
        <v>No</v>
      </c>
    </row>
    <row r="110" spans="1:22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>
        <f t="shared" si="3"/>
        <v>1</v>
      </c>
      <c r="R110" t="str">
        <f t="shared" si="4"/>
        <v>Unique ID</v>
      </c>
      <c r="V110" t="str">
        <f t="shared" si="5"/>
        <v>No</v>
      </c>
    </row>
    <row r="111" spans="1:22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>
        <f t="shared" si="3"/>
        <v>1</v>
      </c>
      <c r="R111" t="str">
        <f t="shared" si="4"/>
        <v>Unique ID</v>
      </c>
      <c r="V111" t="str">
        <f t="shared" si="5"/>
        <v>No</v>
      </c>
    </row>
    <row r="112" spans="1:22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>
        <f t="shared" si="3"/>
        <v>1</v>
      </c>
      <c r="R112" t="str">
        <f t="shared" si="4"/>
        <v>Unique ID</v>
      </c>
      <c r="V112" t="str">
        <f t="shared" si="5"/>
        <v>No</v>
      </c>
    </row>
    <row r="113" spans="1:22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>
        <f t="shared" si="3"/>
        <v>1</v>
      </c>
      <c r="R113" t="str">
        <f t="shared" si="4"/>
        <v>Unique ID</v>
      </c>
      <c r="V113" t="str">
        <f t="shared" si="5"/>
        <v>No</v>
      </c>
    </row>
    <row r="114" spans="1:22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>
        <f t="shared" si="3"/>
        <v>1</v>
      </c>
      <c r="R114" t="str">
        <f t="shared" si="4"/>
        <v>Unique ID</v>
      </c>
      <c r="V114" t="str">
        <f t="shared" si="5"/>
        <v>No</v>
      </c>
    </row>
    <row r="115" spans="1:22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>
        <f t="shared" si="3"/>
        <v>1</v>
      </c>
      <c r="R115" t="str">
        <f t="shared" si="4"/>
        <v>Unique ID</v>
      </c>
      <c r="V115" t="str">
        <f t="shared" si="5"/>
        <v>No</v>
      </c>
    </row>
    <row r="116" spans="1:22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>
        <f t="shared" si="3"/>
        <v>1</v>
      </c>
      <c r="R116" t="str">
        <f t="shared" si="4"/>
        <v>Unique ID</v>
      </c>
      <c r="V116" t="str">
        <f t="shared" si="5"/>
        <v>No</v>
      </c>
    </row>
    <row r="117" spans="1:22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>
        <f t="shared" si="3"/>
        <v>1</v>
      </c>
      <c r="R117" t="str">
        <f t="shared" si="4"/>
        <v>Unique ID</v>
      </c>
      <c r="V117" t="str">
        <f t="shared" si="5"/>
        <v>No</v>
      </c>
    </row>
    <row r="118" spans="1:22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>
        <f t="shared" si="3"/>
        <v>1</v>
      </c>
      <c r="R118" t="str">
        <f t="shared" si="4"/>
        <v>Unique ID</v>
      </c>
      <c r="V118" t="str">
        <f t="shared" si="5"/>
        <v>No</v>
      </c>
    </row>
    <row r="119" spans="1:22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>
        <f t="shared" si="3"/>
        <v>1</v>
      </c>
      <c r="R119" t="str">
        <f t="shared" si="4"/>
        <v>Unique ID</v>
      </c>
      <c r="V119" t="str">
        <f t="shared" si="5"/>
        <v>No</v>
      </c>
    </row>
    <row r="120" spans="1:22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>
        <f t="shared" si="3"/>
        <v>1</v>
      </c>
      <c r="R120" t="str">
        <f t="shared" si="4"/>
        <v>Unique ID</v>
      </c>
      <c r="V120" t="str">
        <f t="shared" si="5"/>
        <v>No</v>
      </c>
    </row>
    <row r="121" spans="1:22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>
        <f t="shared" si="3"/>
        <v>1</v>
      </c>
      <c r="R121" t="str">
        <f t="shared" si="4"/>
        <v>Unique ID</v>
      </c>
      <c r="V121" t="str">
        <f t="shared" si="5"/>
        <v>No</v>
      </c>
    </row>
    <row r="122" spans="1:22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>
        <f t="shared" si="3"/>
        <v>1</v>
      </c>
      <c r="R122" t="str">
        <f t="shared" si="4"/>
        <v>Unique ID</v>
      </c>
      <c r="V122" t="str">
        <f t="shared" si="5"/>
        <v>No</v>
      </c>
    </row>
    <row r="123" spans="1:22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>
        <f t="shared" si="3"/>
        <v>1</v>
      </c>
      <c r="R123" t="str">
        <f t="shared" si="4"/>
        <v>Unique ID</v>
      </c>
      <c r="V123" t="str">
        <f t="shared" si="5"/>
        <v>No</v>
      </c>
    </row>
    <row r="124" spans="1:22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>
        <f t="shared" si="3"/>
        <v>1</v>
      </c>
      <c r="R124" t="str">
        <f t="shared" si="4"/>
        <v>Unique ID</v>
      </c>
      <c r="V124" t="str">
        <f t="shared" si="5"/>
        <v>No</v>
      </c>
    </row>
    <row r="125" spans="1:22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>
        <f t="shared" si="3"/>
        <v>1</v>
      </c>
      <c r="R125" t="str">
        <f t="shared" si="4"/>
        <v>Unique ID</v>
      </c>
      <c r="V125" t="str">
        <f t="shared" si="5"/>
        <v>No</v>
      </c>
    </row>
    <row r="126" spans="1:22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>
        <f t="shared" si="3"/>
        <v>1</v>
      </c>
      <c r="R126" t="str">
        <f t="shared" si="4"/>
        <v>Unique ID</v>
      </c>
      <c r="V126" t="str">
        <f t="shared" si="5"/>
        <v>No</v>
      </c>
    </row>
    <row r="127" spans="1:22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>
        <f t="shared" si="3"/>
        <v>1</v>
      </c>
      <c r="R127" t="str">
        <f t="shared" si="4"/>
        <v>Unique ID</v>
      </c>
      <c r="V127" t="str">
        <f t="shared" si="5"/>
        <v>No</v>
      </c>
    </row>
    <row r="128" spans="1:22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>
        <f t="shared" si="3"/>
        <v>1</v>
      </c>
      <c r="R128" t="str">
        <f t="shared" si="4"/>
        <v>Unique ID</v>
      </c>
      <c r="V128" t="str">
        <f t="shared" si="5"/>
        <v>No</v>
      </c>
    </row>
    <row r="129" spans="1:22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>
        <f t="shared" si="3"/>
        <v>1</v>
      </c>
      <c r="R129" t="str">
        <f t="shared" si="4"/>
        <v>Unique ID</v>
      </c>
      <c r="V129" t="str">
        <f t="shared" si="5"/>
        <v>No</v>
      </c>
    </row>
    <row r="130" spans="1:22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>
        <f t="shared" si="3"/>
        <v>1</v>
      </c>
      <c r="R130" t="str">
        <f t="shared" si="4"/>
        <v>Unique ID</v>
      </c>
      <c r="V130" t="str">
        <f t="shared" si="5"/>
        <v>No</v>
      </c>
    </row>
    <row r="131" spans="1:22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>
        <f t="shared" ref="Q131:Q194" si="6">COUNTIF($A:$A,A131)</f>
        <v>1</v>
      </c>
      <c r="R131" t="str">
        <f t="shared" ref="R131:R194" si="7">IF(Q131&gt;1,"Duplicate ID","Unique ID")</f>
        <v>Unique ID</v>
      </c>
      <c r="V131" t="str">
        <f t="shared" ref="V131:V194" si="8">IF(OR(L131&lt;$U$5,L131&gt;$U$6),"Yes","No")</f>
        <v>No</v>
      </c>
    </row>
    <row r="132" spans="1:22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>
        <f t="shared" si="6"/>
        <v>1</v>
      </c>
      <c r="R132" t="str">
        <f t="shared" si="7"/>
        <v>Unique ID</v>
      </c>
      <c r="V132" t="str">
        <f t="shared" si="8"/>
        <v>No</v>
      </c>
    </row>
    <row r="133" spans="1:22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>
        <f t="shared" si="6"/>
        <v>1</v>
      </c>
      <c r="R133" t="str">
        <f t="shared" si="7"/>
        <v>Unique ID</v>
      </c>
      <c r="V133" t="str">
        <f t="shared" si="8"/>
        <v>No</v>
      </c>
    </row>
    <row r="134" spans="1:22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>
        <f t="shared" si="6"/>
        <v>1</v>
      </c>
      <c r="R134" t="str">
        <f t="shared" si="7"/>
        <v>Unique ID</v>
      </c>
      <c r="V134" t="str">
        <f t="shared" si="8"/>
        <v>No</v>
      </c>
    </row>
    <row r="135" spans="1:22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>
        <f t="shared" si="6"/>
        <v>1</v>
      </c>
      <c r="R135" t="str">
        <f t="shared" si="7"/>
        <v>Unique ID</v>
      </c>
      <c r="V135" t="str">
        <f t="shared" si="8"/>
        <v>No</v>
      </c>
    </row>
    <row r="136" spans="1:22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>
        <f t="shared" si="6"/>
        <v>1</v>
      </c>
      <c r="R136" t="str">
        <f t="shared" si="7"/>
        <v>Unique ID</v>
      </c>
      <c r="V136" t="str">
        <f t="shared" si="8"/>
        <v>No</v>
      </c>
    </row>
    <row r="137" spans="1:22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>
        <f t="shared" si="6"/>
        <v>1</v>
      </c>
      <c r="R137" t="str">
        <f t="shared" si="7"/>
        <v>Unique ID</v>
      </c>
      <c r="V137" t="str">
        <f t="shared" si="8"/>
        <v>No</v>
      </c>
    </row>
    <row r="138" spans="1:22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>
        <f t="shared" si="6"/>
        <v>1</v>
      </c>
      <c r="R138" t="str">
        <f t="shared" si="7"/>
        <v>Unique ID</v>
      </c>
      <c r="V138" t="str">
        <f t="shared" si="8"/>
        <v>No</v>
      </c>
    </row>
    <row r="139" spans="1:22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>
        <f t="shared" si="6"/>
        <v>1</v>
      </c>
      <c r="R139" t="str">
        <f t="shared" si="7"/>
        <v>Unique ID</v>
      </c>
      <c r="V139" t="str">
        <f t="shared" si="8"/>
        <v>No</v>
      </c>
    </row>
    <row r="140" spans="1:22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>
        <f t="shared" si="6"/>
        <v>1</v>
      </c>
      <c r="R140" t="str">
        <f t="shared" si="7"/>
        <v>Unique ID</v>
      </c>
      <c r="V140" t="str">
        <f t="shared" si="8"/>
        <v>No</v>
      </c>
    </row>
    <row r="141" spans="1:22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>
        <f t="shared" si="6"/>
        <v>1</v>
      </c>
      <c r="R141" t="str">
        <f t="shared" si="7"/>
        <v>Unique ID</v>
      </c>
      <c r="V141" t="str">
        <f t="shared" si="8"/>
        <v>No</v>
      </c>
    </row>
    <row r="142" spans="1:22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>
        <f t="shared" si="6"/>
        <v>1</v>
      </c>
      <c r="R142" t="str">
        <f t="shared" si="7"/>
        <v>Unique ID</v>
      </c>
      <c r="V142" t="str">
        <f t="shared" si="8"/>
        <v>No</v>
      </c>
    </row>
    <row r="143" spans="1:22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>
        <f t="shared" si="6"/>
        <v>1</v>
      </c>
      <c r="R143" t="str">
        <f t="shared" si="7"/>
        <v>Unique ID</v>
      </c>
      <c r="V143" t="str">
        <f t="shared" si="8"/>
        <v>Yes</v>
      </c>
    </row>
    <row r="144" spans="1:22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>
        <f t="shared" si="6"/>
        <v>1</v>
      </c>
      <c r="R144" t="str">
        <f t="shared" si="7"/>
        <v>Unique ID</v>
      </c>
      <c r="V144" t="str">
        <f t="shared" si="8"/>
        <v>No</v>
      </c>
    </row>
    <row r="145" spans="1:22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>
        <f t="shared" si="6"/>
        <v>1</v>
      </c>
      <c r="R145" t="str">
        <f t="shared" si="7"/>
        <v>Unique ID</v>
      </c>
      <c r="V145" t="str">
        <f t="shared" si="8"/>
        <v>No</v>
      </c>
    </row>
    <row r="146" spans="1:22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>
        <f t="shared" si="6"/>
        <v>1</v>
      </c>
      <c r="R146" t="str">
        <f t="shared" si="7"/>
        <v>Unique ID</v>
      </c>
      <c r="V146" t="str">
        <f t="shared" si="8"/>
        <v>No</v>
      </c>
    </row>
    <row r="147" spans="1:22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>
        <f t="shared" si="6"/>
        <v>1</v>
      </c>
      <c r="R147" t="str">
        <f t="shared" si="7"/>
        <v>Unique ID</v>
      </c>
      <c r="V147" t="str">
        <f t="shared" si="8"/>
        <v>No</v>
      </c>
    </row>
    <row r="148" spans="1:22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>
        <f t="shared" si="6"/>
        <v>1</v>
      </c>
      <c r="R148" t="str">
        <f t="shared" si="7"/>
        <v>Unique ID</v>
      </c>
      <c r="V148" t="str">
        <f t="shared" si="8"/>
        <v>No</v>
      </c>
    </row>
    <row r="149" spans="1:22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>
        <f t="shared" si="6"/>
        <v>1</v>
      </c>
      <c r="R149" t="str">
        <f t="shared" si="7"/>
        <v>Unique ID</v>
      </c>
      <c r="V149" t="str">
        <f t="shared" si="8"/>
        <v>No</v>
      </c>
    </row>
    <row r="150" spans="1:22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>
        <f t="shared" si="6"/>
        <v>1</v>
      </c>
      <c r="R150" t="str">
        <f t="shared" si="7"/>
        <v>Unique ID</v>
      </c>
      <c r="V150" t="str">
        <f t="shared" si="8"/>
        <v>Yes</v>
      </c>
    </row>
    <row r="151" spans="1:22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>
        <f t="shared" si="6"/>
        <v>1</v>
      </c>
      <c r="R151" t="str">
        <f t="shared" si="7"/>
        <v>Unique ID</v>
      </c>
      <c r="V151" t="str">
        <f t="shared" si="8"/>
        <v>No</v>
      </c>
    </row>
    <row r="152" spans="1:22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>
        <f t="shared" si="6"/>
        <v>1</v>
      </c>
      <c r="R152" t="str">
        <f t="shared" si="7"/>
        <v>Unique ID</v>
      </c>
      <c r="V152" t="str">
        <f t="shared" si="8"/>
        <v>No</v>
      </c>
    </row>
    <row r="153" spans="1:22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>
        <f t="shared" si="6"/>
        <v>1</v>
      </c>
      <c r="R153" t="str">
        <f t="shared" si="7"/>
        <v>Unique ID</v>
      </c>
      <c r="V153" t="str">
        <f t="shared" si="8"/>
        <v>No</v>
      </c>
    </row>
    <row r="154" spans="1:22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>
        <f t="shared" si="6"/>
        <v>1</v>
      </c>
      <c r="R154" t="str">
        <f t="shared" si="7"/>
        <v>Unique ID</v>
      </c>
      <c r="V154" t="str">
        <f t="shared" si="8"/>
        <v>No</v>
      </c>
    </row>
    <row r="155" spans="1:22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>
        <f t="shared" si="6"/>
        <v>1</v>
      </c>
      <c r="R155" t="str">
        <f t="shared" si="7"/>
        <v>Unique ID</v>
      </c>
      <c r="V155" t="str">
        <f t="shared" si="8"/>
        <v>No</v>
      </c>
    </row>
    <row r="156" spans="1:22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>
        <f t="shared" si="6"/>
        <v>1</v>
      </c>
      <c r="R156" t="str">
        <f t="shared" si="7"/>
        <v>Unique ID</v>
      </c>
      <c r="V156" t="str">
        <f t="shared" si="8"/>
        <v>No</v>
      </c>
    </row>
    <row r="157" spans="1:22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>
        <f t="shared" si="6"/>
        <v>1</v>
      </c>
      <c r="R157" t="str">
        <f t="shared" si="7"/>
        <v>Unique ID</v>
      </c>
      <c r="V157" t="str">
        <f t="shared" si="8"/>
        <v>No</v>
      </c>
    </row>
    <row r="158" spans="1:22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>
        <f t="shared" si="6"/>
        <v>1</v>
      </c>
      <c r="R158" t="str">
        <f t="shared" si="7"/>
        <v>Unique ID</v>
      </c>
      <c r="V158" t="str">
        <f t="shared" si="8"/>
        <v>No</v>
      </c>
    </row>
    <row r="159" spans="1:22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>
        <f t="shared" si="6"/>
        <v>1</v>
      </c>
      <c r="R159" t="str">
        <f t="shared" si="7"/>
        <v>Unique ID</v>
      </c>
      <c r="V159" t="str">
        <f t="shared" si="8"/>
        <v>No</v>
      </c>
    </row>
    <row r="160" spans="1:22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>
        <f t="shared" si="6"/>
        <v>1</v>
      </c>
      <c r="R160" t="str">
        <f t="shared" si="7"/>
        <v>Unique ID</v>
      </c>
      <c r="V160" t="str">
        <f t="shared" si="8"/>
        <v>No</v>
      </c>
    </row>
    <row r="161" spans="1:22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>
        <f t="shared" si="6"/>
        <v>1</v>
      </c>
      <c r="R161" t="str">
        <f t="shared" si="7"/>
        <v>Unique ID</v>
      </c>
      <c r="V161" t="str">
        <f t="shared" si="8"/>
        <v>No</v>
      </c>
    </row>
    <row r="162" spans="1:22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>
        <f t="shared" si="6"/>
        <v>1</v>
      </c>
      <c r="R162" t="str">
        <f t="shared" si="7"/>
        <v>Unique ID</v>
      </c>
      <c r="V162" t="str">
        <f t="shared" si="8"/>
        <v>No</v>
      </c>
    </row>
    <row r="163" spans="1:22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>
        <f t="shared" si="6"/>
        <v>1</v>
      </c>
      <c r="R163" t="str">
        <f t="shared" si="7"/>
        <v>Unique ID</v>
      </c>
      <c r="V163" t="str">
        <f t="shared" si="8"/>
        <v>No</v>
      </c>
    </row>
    <row r="164" spans="1:22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>
        <f t="shared" si="6"/>
        <v>1</v>
      </c>
      <c r="R164" t="str">
        <f t="shared" si="7"/>
        <v>Unique ID</v>
      </c>
      <c r="V164" t="str">
        <f t="shared" si="8"/>
        <v>No</v>
      </c>
    </row>
    <row r="165" spans="1:22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>
        <f t="shared" si="6"/>
        <v>1</v>
      </c>
      <c r="R165" t="str">
        <f t="shared" si="7"/>
        <v>Unique ID</v>
      </c>
      <c r="V165" t="str">
        <f t="shared" si="8"/>
        <v>No</v>
      </c>
    </row>
    <row r="166" spans="1:22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>
        <f t="shared" si="6"/>
        <v>1</v>
      </c>
      <c r="R166" t="str">
        <f t="shared" si="7"/>
        <v>Unique ID</v>
      </c>
      <c r="V166" t="str">
        <f t="shared" si="8"/>
        <v>No</v>
      </c>
    </row>
    <row r="167" spans="1:22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>
        <f t="shared" si="6"/>
        <v>1</v>
      </c>
      <c r="R167" t="str">
        <f t="shared" si="7"/>
        <v>Unique ID</v>
      </c>
      <c r="V167" t="str">
        <f t="shared" si="8"/>
        <v>Yes</v>
      </c>
    </row>
    <row r="168" spans="1:22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>
        <f t="shared" si="6"/>
        <v>1</v>
      </c>
      <c r="R168" t="str">
        <f t="shared" si="7"/>
        <v>Unique ID</v>
      </c>
      <c r="V168" t="str">
        <f t="shared" si="8"/>
        <v>No</v>
      </c>
    </row>
    <row r="169" spans="1:22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>
        <f t="shared" si="6"/>
        <v>1</v>
      </c>
      <c r="R169" t="str">
        <f t="shared" si="7"/>
        <v>Unique ID</v>
      </c>
      <c r="V169" t="str">
        <f t="shared" si="8"/>
        <v>No</v>
      </c>
    </row>
    <row r="170" spans="1:22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>
        <f t="shared" si="6"/>
        <v>1</v>
      </c>
      <c r="R170" t="str">
        <f t="shared" si="7"/>
        <v>Unique ID</v>
      </c>
      <c r="V170" t="str">
        <f t="shared" si="8"/>
        <v>No</v>
      </c>
    </row>
    <row r="171" spans="1:22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>
        <f t="shared" si="6"/>
        <v>1</v>
      </c>
      <c r="R171" t="str">
        <f t="shared" si="7"/>
        <v>Unique ID</v>
      </c>
      <c r="V171" t="str">
        <f t="shared" si="8"/>
        <v>No</v>
      </c>
    </row>
    <row r="172" spans="1:22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>
        <f t="shared" si="6"/>
        <v>1</v>
      </c>
      <c r="R172" t="str">
        <f t="shared" si="7"/>
        <v>Unique ID</v>
      </c>
      <c r="V172" t="str">
        <f t="shared" si="8"/>
        <v>No</v>
      </c>
    </row>
    <row r="173" spans="1:22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>
        <f t="shared" si="6"/>
        <v>1</v>
      </c>
      <c r="R173" t="str">
        <f t="shared" si="7"/>
        <v>Unique ID</v>
      </c>
      <c r="V173" t="str">
        <f t="shared" si="8"/>
        <v>No</v>
      </c>
    </row>
    <row r="174" spans="1:22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>
        <f t="shared" si="6"/>
        <v>1</v>
      </c>
      <c r="R174" t="str">
        <f t="shared" si="7"/>
        <v>Unique ID</v>
      </c>
      <c r="V174" t="str">
        <f t="shared" si="8"/>
        <v>No</v>
      </c>
    </row>
    <row r="175" spans="1:22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>
        <f t="shared" si="6"/>
        <v>1</v>
      </c>
      <c r="R175" t="str">
        <f t="shared" si="7"/>
        <v>Unique ID</v>
      </c>
      <c r="V175" t="str">
        <f t="shared" si="8"/>
        <v>No</v>
      </c>
    </row>
    <row r="176" spans="1:22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>
        <f t="shared" si="6"/>
        <v>1</v>
      </c>
      <c r="R176" t="str">
        <f t="shared" si="7"/>
        <v>Unique ID</v>
      </c>
      <c r="V176" t="str">
        <f t="shared" si="8"/>
        <v>No</v>
      </c>
    </row>
    <row r="177" spans="1:22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>
        <f t="shared" si="6"/>
        <v>1</v>
      </c>
      <c r="R177" t="str">
        <f t="shared" si="7"/>
        <v>Unique ID</v>
      </c>
      <c r="V177" t="str">
        <f t="shared" si="8"/>
        <v>No</v>
      </c>
    </row>
    <row r="178" spans="1:22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>
        <f t="shared" si="6"/>
        <v>1</v>
      </c>
      <c r="R178" t="str">
        <f t="shared" si="7"/>
        <v>Unique ID</v>
      </c>
      <c r="V178" t="str">
        <f t="shared" si="8"/>
        <v>No</v>
      </c>
    </row>
    <row r="179" spans="1:22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>
        <f t="shared" si="6"/>
        <v>1</v>
      </c>
      <c r="R179" t="str">
        <f t="shared" si="7"/>
        <v>Unique ID</v>
      </c>
      <c r="V179" t="str">
        <f t="shared" si="8"/>
        <v>No</v>
      </c>
    </row>
    <row r="180" spans="1:22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>
        <f t="shared" si="6"/>
        <v>1</v>
      </c>
      <c r="R180" t="str">
        <f t="shared" si="7"/>
        <v>Unique ID</v>
      </c>
      <c r="V180" t="str">
        <f t="shared" si="8"/>
        <v>No</v>
      </c>
    </row>
    <row r="181" spans="1:22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>
        <f t="shared" si="6"/>
        <v>1</v>
      </c>
      <c r="R181" t="str">
        <f t="shared" si="7"/>
        <v>Unique ID</v>
      </c>
      <c r="V181" t="str">
        <f t="shared" si="8"/>
        <v>No</v>
      </c>
    </row>
    <row r="182" spans="1:22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>
        <f t="shared" si="6"/>
        <v>1</v>
      </c>
      <c r="R182" t="str">
        <f t="shared" si="7"/>
        <v>Unique ID</v>
      </c>
      <c r="V182" t="str">
        <f t="shared" si="8"/>
        <v>No</v>
      </c>
    </row>
    <row r="183" spans="1:22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>
        <f t="shared" si="6"/>
        <v>1</v>
      </c>
      <c r="R183" t="str">
        <f t="shared" si="7"/>
        <v>Unique ID</v>
      </c>
      <c r="V183" t="str">
        <f t="shared" si="8"/>
        <v>No</v>
      </c>
    </row>
    <row r="184" spans="1:22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>
        <f t="shared" si="6"/>
        <v>1</v>
      </c>
      <c r="R184" t="str">
        <f t="shared" si="7"/>
        <v>Unique ID</v>
      </c>
      <c r="V184" t="str">
        <f t="shared" si="8"/>
        <v>No</v>
      </c>
    </row>
    <row r="185" spans="1:22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>
        <f t="shared" si="6"/>
        <v>1</v>
      </c>
      <c r="R185" t="str">
        <f t="shared" si="7"/>
        <v>Unique ID</v>
      </c>
      <c r="V185" t="str">
        <f t="shared" si="8"/>
        <v>No</v>
      </c>
    </row>
    <row r="186" spans="1:22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>
        <f t="shared" si="6"/>
        <v>1</v>
      </c>
      <c r="R186" t="str">
        <f t="shared" si="7"/>
        <v>Unique ID</v>
      </c>
      <c r="V186" t="str">
        <f t="shared" si="8"/>
        <v>No</v>
      </c>
    </row>
    <row r="187" spans="1:22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>
        <f t="shared" si="6"/>
        <v>1</v>
      </c>
      <c r="R187" t="str">
        <f t="shared" si="7"/>
        <v>Unique ID</v>
      </c>
      <c r="V187" t="str">
        <f t="shared" si="8"/>
        <v>No</v>
      </c>
    </row>
    <row r="188" spans="1:22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>
        <f t="shared" si="6"/>
        <v>1</v>
      </c>
      <c r="R188" t="str">
        <f t="shared" si="7"/>
        <v>Unique ID</v>
      </c>
      <c r="V188" t="str">
        <f t="shared" si="8"/>
        <v>No</v>
      </c>
    </row>
    <row r="189" spans="1:22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>
        <f t="shared" si="6"/>
        <v>1</v>
      </c>
      <c r="R189" t="str">
        <f t="shared" si="7"/>
        <v>Unique ID</v>
      </c>
      <c r="V189" t="str">
        <f t="shared" si="8"/>
        <v>No</v>
      </c>
    </row>
    <row r="190" spans="1:22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>
        <f t="shared" si="6"/>
        <v>1</v>
      </c>
      <c r="R190" t="str">
        <f t="shared" si="7"/>
        <v>Unique ID</v>
      </c>
      <c r="V190" t="str">
        <f t="shared" si="8"/>
        <v>No</v>
      </c>
    </row>
    <row r="191" spans="1:22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>
        <f t="shared" si="6"/>
        <v>1</v>
      </c>
      <c r="R191" t="str">
        <f t="shared" si="7"/>
        <v>Unique ID</v>
      </c>
      <c r="V191" t="str">
        <f t="shared" si="8"/>
        <v>No</v>
      </c>
    </row>
    <row r="192" spans="1:22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>
        <f t="shared" si="6"/>
        <v>1</v>
      </c>
      <c r="R192" t="str">
        <f t="shared" si="7"/>
        <v>Unique ID</v>
      </c>
      <c r="V192" t="str">
        <f t="shared" si="8"/>
        <v>No</v>
      </c>
    </row>
    <row r="193" spans="1:22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>
        <f t="shared" si="6"/>
        <v>1</v>
      </c>
      <c r="R193" t="str">
        <f t="shared" si="7"/>
        <v>Unique ID</v>
      </c>
      <c r="V193" t="str">
        <f t="shared" si="8"/>
        <v>No</v>
      </c>
    </row>
    <row r="194" spans="1:22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>
        <f t="shared" si="6"/>
        <v>1</v>
      </c>
      <c r="R194" t="str">
        <f t="shared" si="7"/>
        <v>Unique ID</v>
      </c>
      <c r="V194" t="str">
        <f t="shared" si="8"/>
        <v>No</v>
      </c>
    </row>
    <row r="195" spans="1:22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>
        <f t="shared" ref="Q195:Q258" si="9">COUNTIF($A:$A,A195)</f>
        <v>1</v>
      </c>
      <c r="R195" t="str">
        <f t="shared" ref="R195:R258" si="10">IF(Q195&gt;1,"Duplicate ID","Unique ID")</f>
        <v>Unique ID</v>
      </c>
      <c r="V195" t="str">
        <f t="shared" ref="V195:V258" si="11">IF(OR(L195&lt;$U$5,L195&gt;$U$6),"Yes","No")</f>
        <v>No</v>
      </c>
    </row>
    <row r="196" spans="1:22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>
        <f t="shared" si="9"/>
        <v>1</v>
      </c>
      <c r="R196" t="str">
        <f t="shared" si="10"/>
        <v>Unique ID</v>
      </c>
      <c r="V196" t="str">
        <f t="shared" si="11"/>
        <v>No</v>
      </c>
    </row>
    <row r="197" spans="1:22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>
        <f t="shared" si="9"/>
        <v>1</v>
      </c>
      <c r="R197" t="str">
        <f t="shared" si="10"/>
        <v>Unique ID</v>
      </c>
      <c r="V197" t="str">
        <f t="shared" si="11"/>
        <v>No</v>
      </c>
    </row>
    <row r="198" spans="1:22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>
        <f t="shared" si="9"/>
        <v>1</v>
      </c>
      <c r="R198" t="str">
        <f t="shared" si="10"/>
        <v>Unique ID</v>
      </c>
      <c r="V198" t="str">
        <f t="shared" si="11"/>
        <v>Yes</v>
      </c>
    </row>
    <row r="199" spans="1:22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>
        <f t="shared" si="9"/>
        <v>1</v>
      </c>
      <c r="R199" t="str">
        <f t="shared" si="10"/>
        <v>Unique ID</v>
      </c>
      <c r="V199" t="str">
        <f t="shared" si="11"/>
        <v>No</v>
      </c>
    </row>
    <row r="200" spans="1:22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>
        <f t="shared" si="9"/>
        <v>1</v>
      </c>
      <c r="R200" t="str">
        <f t="shared" si="10"/>
        <v>Unique ID</v>
      </c>
      <c r="V200" t="str">
        <f t="shared" si="11"/>
        <v>No</v>
      </c>
    </row>
    <row r="201" spans="1:22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>
        <f t="shared" si="9"/>
        <v>1</v>
      </c>
      <c r="R201" t="str">
        <f t="shared" si="10"/>
        <v>Unique ID</v>
      </c>
      <c r="V201" t="str">
        <f t="shared" si="11"/>
        <v>No</v>
      </c>
    </row>
    <row r="202" spans="1:22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>
        <f t="shared" si="9"/>
        <v>1</v>
      </c>
      <c r="R202" t="str">
        <f t="shared" si="10"/>
        <v>Unique ID</v>
      </c>
      <c r="V202" t="str">
        <f t="shared" si="11"/>
        <v>No</v>
      </c>
    </row>
    <row r="203" spans="1:22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>
        <f t="shared" si="9"/>
        <v>1</v>
      </c>
      <c r="R203" t="str">
        <f t="shared" si="10"/>
        <v>Unique ID</v>
      </c>
      <c r="V203" t="str">
        <f t="shared" si="11"/>
        <v>No</v>
      </c>
    </row>
    <row r="204" spans="1:22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>
        <f t="shared" si="9"/>
        <v>1</v>
      </c>
      <c r="R204" t="str">
        <f t="shared" si="10"/>
        <v>Unique ID</v>
      </c>
      <c r="V204" t="str">
        <f t="shared" si="11"/>
        <v>No</v>
      </c>
    </row>
    <row r="205" spans="1:22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>
        <f t="shared" si="9"/>
        <v>1</v>
      </c>
      <c r="R205" t="str">
        <f t="shared" si="10"/>
        <v>Unique ID</v>
      </c>
      <c r="V205" t="str">
        <f t="shared" si="11"/>
        <v>No</v>
      </c>
    </row>
    <row r="206" spans="1:22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>
        <f t="shared" si="9"/>
        <v>1</v>
      </c>
      <c r="R206" t="str">
        <f t="shared" si="10"/>
        <v>Unique ID</v>
      </c>
      <c r="V206" t="str">
        <f t="shared" si="11"/>
        <v>No</v>
      </c>
    </row>
    <row r="207" spans="1:22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>
        <f t="shared" si="9"/>
        <v>1</v>
      </c>
      <c r="R207" t="str">
        <f t="shared" si="10"/>
        <v>Unique ID</v>
      </c>
      <c r="V207" t="str">
        <f t="shared" si="11"/>
        <v>No</v>
      </c>
    </row>
    <row r="208" spans="1:22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>
        <f t="shared" si="9"/>
        <v>1</v>
      </c>
      <c r="R208" t="str">
        <f t="shared" si="10"/>
        <v>Unique ID</v>
      </c>
      <c r="V208" t="str">
        <f t="shared" si="11"/>
        <v>No</v>
      </c>
    </row>
    <row r="209" spans="1:22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>
        <f t="shared" si="9"/>
        <v>1</v>
      </c>
      <c r="R209" t="str">
        <f t="shared" si="10"/>
        <v>Unique ID</v>
      </c>
      <c r="V209" t="str">
        <f t="shared" si="11"/>
        <v>No</v>
      </c>
    </row>
    <row r="210" spans="1:22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>
        <f t="shared" si="9"/>
        <v>1</v>
      </c>
      <c r="R210" t="str">
        <f t="shared" si="10"/>
        <v>Unique ID</v>
      </c>
      <c r="V210" t="str">
        <f t="shared" si="11"/>
        <v>No</v>
      </c>
    </row>
    <row r="211" spans="1:22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>
        <f t="shared" si="9"/>
        <v>1</v>
      </c>
      <c r="R211" t="str">
        <f t="shared" si="10"/>
        <v>Unique ID</v>
      </c>
      <c r="V211" t="str">
        <f t="shared" si="11"/>
        <v>No</v>
      </c>
    </row>
    <row r="212" spans="1:22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>
        <f t="shared" si="9"/>
        <v>1</v>
      </c>
      <c r="R212" t="str">
        <f t="shared" si="10"/>
        <v>Unique ID</v>
      </c>
      <c r="V212" t="str">
        <f t="shared" si="11"/>
        <v>Yes</v>
      </c>
    </row>
    <row r="213" spans="1:22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>
        <f t="shared" si="9"/>
        <v>1</v>
      </c>
      <c r="R213" t="str">
        <f t="shared" si="10"/>
        <v>Unique ID</v>
      </c>
      <c r="V213" t="str">
        <f t="shared" si="11"/>
        <v>No</v>
      </c>
    </row>
    <row r="214" spans="1:22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>
        <f t="shared" si="9"/>
        <v>1</v>
      </c>
      <c r="R214" t="str">
        <f t="shared" si="10"/>
        <v>Unique ID</v>
      </c>
      <c r="V214" t="str">
        <f t="shared" si="11"/>
        <v>No</v>
      </c>
    </row>
    <row r="215" spans="1:22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>
        <f t="shared" si="9"/>
        <v>1</v>
      </c>
      <c r="R215" t="str">
        <f t="shared" si="10"/>
        <v>Unique ID</v>
      </c>
      <c r="V215" t="str">
        <f t="shared" si="11"/>
        <v>No</v>
      </c>
    </row>
    <row r="216" spans="1:22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>
        <f t="shared" si="9"/>
        <v>1</v>
      </c>
      <c r="R216" t="str">
        <f t="shared" si="10"/>
        <v>Unique ID</v>
      </c>
      <c r="V216" t="str">
        <f t="shared" si="11"/>
        <v>No</v>
      </c>
    </row>
    <row r="217" spans="1:22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>
        <f t="shared" si="9"/>
        <v>1</v>
      </c>
      <c r="R217" t="str">
        <f t="shared" si="10"/>
        <v>Unique ID</v>
      </c>
      <c r="V217" t="str">
        <f t="shared" si="11"/>
        <v>No</v>
      </c>
    </row>
    <row r="218" spans="1:22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>
        <f t="shared" si="9"/>
        <v>1</v>
      </c>
      <c r="R218" t="str">
        <f t="shared" si="10"/>
        <v>Unique ID</v>
      </c>
      <c r="V218" t="str">
        <f t="shared" si="11"/>
        <v>No</v>
      </c>
    </row>
    <row r="219" spans="1:22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>
        <f t="shared" si="9"/>
        <v>1</v>
      </c>
      <c r="R219" t="str">
        <f t="shared" si="10"/>
        <v>Unique ID</v>
      </c>
      <c r="V219" t="str">
        <f t="shared" si="11"/>
        <v>No</v>
      </c>
    </row>
    <row r="220" spans="1:22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>
        <f t="shared" si="9"/>
        <v>1</v>
      </c>
      <c r="R220" t="str">
        <f t="shared" si="10"/>
        <v>Unique ID</v>
      </c>
      <c r="V220" t="str">
        <f t="shared" si="11"/>
        <v>No</v>
      </c>
    </row>
    <row r="221" spans="1:22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>
        <f t="shared" si="9"/>
        <v>1</v>
      </c>
      <c r="R221" t="str">
        <f t="shared" si="10"/>
        <v>Unique ID</v>
      </c>
      <c r="V221" t="str">
        <f t="shared" si="11"/>
        <v>No</v>
      </c>
    </row>
    <row r="222" spans="1:22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>
        <f t="shared" si="9"/>
        <v>1</v>
      </c>
      <c r="R222" t="str">
        <f t="shared" si="10"/>
        <v>Unique ID</v>
      </c>
      <c r="V222" t="str">
        <f t="shared" si="11"/>
        <v>No</v>
      </c>
    </row>
    <row r="223" spans="1:22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>
        <f t="shared" si="9"/>
        <v>1</v>
      </c>
      <c r="R223" t="str">
        <f t="shared" si="10"/>
        <v>Unique ID</v>
      </c>
      <c r="V223" t="str">
        <f t="shared" si="11"/>
        <v>No</v>
      </c>
    </row>
    <row r="224" spans="1:22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>
        <f t="shared" si="9"/>
        <v>1</v>
      </c>
      <c r="R224" t="str">
        <f t="shared" si="10"/>
        <v>Unique ID</v>
      </c>
      <c r="V224" t="str">
        <f t="shared" si="11"/>
        <v>No</v>
      </c>
    </row>
    <row r="225" spans="1:22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>
        <f t="shared" si="9"/>
        <v>1</v>
      </c>
      <c r="R225" t="str">
        <f t="shared" si="10"/>
        <v>Unique ID</v>
      </c>
      <c r="V225" t="str">
        <f t="shared" si="11"/>
        <v>No</v>
      </c>
    </row>
    <row r="226" spans="1:22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>
        <f t="shared" si="9"/>
        <v>1</v>
      </c>
      <c r="R226" t="str">
        <f t="shared" si="10"/>
        <v>Unique ID</v>
      </c>
      <c r="V226" t="str">
        <f t="shared" si="11"/>
        <v>No</v>
      </c>
    </row>
    <row r="227" spans="1:22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>
        <f t="shared" si="9"/>
        <v>1</v>
      </c>
      <c r="R227" t="str">
        <f t="shared" si="10"/>
        <v>Unique ID</v>
      </c>
      <c r="V227" t="str">
        <f t="shared" si="11"/>
        <v>No</v>
      </c>
    </row>
    <row r="228" spans="1:22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>
        <f t="shared" si="9"/>
        <v>1</v>
      </c>
      <c r="R228" t="str">
        <f t="shared" si="10"/>
        <v>Unique ID</v>
      </c>
      <c r="V228" t="str">
        <f t="shared" si="11"/>
        <v>No</v>
      </c>
    </row>
    <row r="229" spans="1:22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>
        <f t="shared" si="9"/>
        <v>1</v>
      </c>
      <c r="R229" t="str">
        <f t="shared" si="10"/>
        <v>Unique ID</v>
      </c>
      <c r="V229" t="str">
        <f t="shared" si="11"/>
        <v>No</v>
      </c>
    </row>
    <row r="230" spans="1:22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>
        <f t="shared" si="9"/>
        <v>1</v>
      </c>
      <c r="R230" t="str">
        <f t="shared" si="10"/>
        <v>Unique ID</v>
      </c>
      <c r="V230" t="str">
        <f t="shared" si="11"/>
        <v>No</v>
      </c>
    </row>
    <row r="231" spans="1:22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>
        <f t="shared" si="9"/>
        <v>1</v>
      </c>
      <c r="R231" t="str">
        <f t="shared" si="10"/>
        <v>Unique ID</v>
      </c>
      <c r="V231" t="str">
        <f t="shared" si="11"/>
        <v>No</v>
      </c>
    </row>
    <row r="232" spans="1:22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>
        <f t="shared" si="9"/>
        <v>1</v>
      </c>
      <c r="R232" t="str">
        <f t="shared" si="10"/>
        <v>Unique ID</v>
      </c>
      <c r="V232" t="str">
        <f t="shared" si="11"/>
        <v>No</v>
      </c>
    </row>
    <row r="233" spans="1:22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>
        <f t="shared" si="9"/>
        <v>1</v>
      </c>
      <c r="R233" t="str">
        <f t="shared" si="10"/>
        <v>Unique ID</v>
      </c>
      <c r="V233" t="str">
        <f t="shared" si="11"/>
        <v>No</v>
      </c>
    </row>
    <row r="234" spans="1:22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>
        <f t="shared" si="9"/>
        <v>1</v>
      </c>
      <c r="R234" t="str">
        <f t="shared" si="10"/>
        <v>Unique ID</v>
      </c>
      <c r="V234" t="str">
        <f t="shared" si="11"/>
        <v>No</v>
      </c>
    </row>
    <row r="235" spans="1:22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>
        <f t="shared" si="9"/>
        <v>1</v>
      </c>
      <c r="R235" t="str">
        <f t="shared" si="10"/>
        <v>Unique ID</v>
      </c>
      <c r="V235" t="str">
        <f t="shared" si="11"/>
        <v>No</v>
      </c>
    </row>
    <row r="236" spans="1:22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>
        <f t="shared" si="9"/>
        <v>1</v>
      </c>
      <c r="R236" t="str">
        <f t="shared" si="10"/>
        <v>Unique ID</v>
      </c>
      <c r="V236" t="str">
        <f t="shared" si="11"/>
        <v>No</v>
      </c>
    </row>
    <row r="237" spans="1:22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>
        <f t="shared" si="9"/>
        <v>1</v>
      </c>
      <c r="R237" t="str">
        <f t="shared" si="10"/>
        <v>Unique ID</v>
      </c>
      <c r="V237" t="str">
        <f t="shared" si="11"/>
        <v>No</v>
      </c>
    </row>
    <row r="238" spans="1:22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>
        <f t="shared" si="9"/>
        <v>1</v>
      </c>
      <c r="R238" t="str">
        <f t="shared" si="10"/>
        <v>Unique ID</v>
      </c>
      <c r="V238" t="str">
        <f t="shared" si="11"/>
        <v>No</v>
      </c>
    </row>
    <row r="239" spans="1:22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>
        <f t="shared" si="9"/>
        <v>1</v>
      </c>
      <c r="R239" t="str">
        <f t="shared" si="10"/>
        <v>Unique ID</v>
      </c>
      <c r="V239" t="str">
        <f t="shared" si="11"/>
        <v>No</v>
      </c>
    </row>
    <row r="240" spans="1:22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>
        <f t="shared" si="9"/>
        <v>1</v>
      </c>
      <c r="R240" t="str">
        <f t="shared" si="10"/>
        <v>Unique ID</v>
      </c>
      <c r="V240" t="str">
        <f t="shared" si="11"/>
        <v>No</v>
      </c>
    </row>
    <row r="241" spans="1:22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>
        <f t="shared" si="9"/>
        <v>1</v>
      </c>
      <c r="R241" t="str">
        <f t="shared" si="10"/>
        <v>Unique ID</v>
      </c>
      <c r="V241" t="str">
        <f t="shared" si="11"/>
        <v>No</v>
      </c>
    </row>
    <row r="242" spans="1:22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>
        <f t="shared" si="9"/>
        <v>1</v>
      </c>
      <c r="R242" t="str">
        <f t="shared" si="10"/>
        <v>Unique ID</v>
      </c>
      <c r="V242" t="str">
        <f t="shared" si="11"/>
        <v>No</v>
      </c>
    </row>
    <row r="243" spans="1:22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>
        <f t="shared" si="9"/>
        <v>1</v>
      </c>
      <c r="R243" t="str">
        <f t="shared" si="10"/>
        <v>Unique ID</v>
      </c>
      <c r="V243" t="str">
        <f t="shared" si="11"/>
        <v>No</v>
      </c>
    </row>
    <row r="244" spans="1:22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>
        <f t="shared" si="9"/>
        <v>1</v>
      </c>
      <c r="R244" t="str">
        <f t="shared" si="10"/>
        <v>Unique ID</v>
      </c>
      <c r="V244" t="str">
        <f t="shared" si="11"/>
        <v>No</v>
      </c>
    </row>
    <row r="245" spans="1:22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>
        <f t="shared" si="9"/>
        <v>1</v>
      </c>
      <c r="R245" t="str">
        <f t="shared" si="10"/>
        <v>Unique ID</v>
      </c>
      <c r="V245" t="str">
        <f t="shared" si="11"/>
        <v>No</v>
      </c>
    </row>
    <row r="246" spans="1:22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>
        <f t="shared" si="9"/>
        <v>1</v>
      </c>
      <c r="R246" t="str">
        <f t="shared" si="10"/>
        <v>Unique ID</v>
      </c>
      <c r="V246" t="str">
        <f t="shared" si="11"/>
        <v>No</v>
      </c>
    </row>
    <row r="247" spans="1:22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>
        <f t="shared" si="9"/>
        <v>1</v>
      </c>
      <c r="R247" t="str">
        <f t="shared" si="10"/>
        <v>Unique ID</v>
      </c>
      <c r="V247" t="str">
        <f t="shared" si="11"/>
        <v>No</v>
      </c>
    </row>
    <row r="248" spans="1:22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>
        <f t="shared" si="9"/>
        <v>1</v>
      </c>
      <c r="R248" t="str">
        <f t="shared" si="10"/>
        <v>Unique ID</v>
      </c>
      <c r="V248" t="str">
        <f t="shared" si="11"/>
        <v>No</v>
      </c>
    </row>
    <row r="249" spans="1:22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>
        <f t="shared" si="9"/>
        <v>1</v>
      </c>
      <c r="R249" t="str">
        <f t="shared" si="10"/>
        <v>Unique ID</v>
      </c>
      <c r="V249" t="str">
        <f t="shared" si="11"/>
        <v>No</v>
      </c>
    </row>
    <row r="250" spans="1:22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>
        <f t="shared" si="9"/>
        <v>1</v>
      </c>
      <c r="R250" t="str">
        <f t="shared" si="10"/>
        <v>Unique ID</v>
      </c>
      <c r="V250" t="str">
        <f t="shared" si="11"/>
        <v>No</v>
      </c>
    </row>
    <row r="251" spans="1:22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>
        <f t="shared" si="9"/>
        <v>1</v>
      </c>
      <c r="R251" t="str">
        <f t="shared" si="10"/>
        <v>Unique ID</v>
      </c>
      <c r="V251" t="str">
        <f t="shared" si="11"/>
        <v>No</v>
      </c>
    </row>
    <row r="252" spans="1:22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>
        <f t="shared" si="9"/>
        <v>1</v>
      </c>
      <c r="R252" t="str">
        <f t="shared" si="10"/>
        <v>Unique ID</v>
      </c>
      <c r="V252" t="str">
        <f t="shared" si="11"/>
        <v>Yes</v>
      </c>
    </row>
    <row r="253" spans="1:22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>
        <f t="shared" si="9"/>
        <v>1</v>
      </c>
      <c r="R253" t="str">
        <f t="shared" si="10"/>
        <v>Unique ID</v>
      </c>
      <c r="V253" t="str">
        <f t="shared" si="11"/>
        <v>No</v>
      </c>
    </row>
    <row r="254" spans="1:22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>
        <f t="shared" si="9"/>
        <v>1</v>
      </c>
      <c r="R254" t="str">
        <f t="shared" si="10"/>
        <v>Unique ID</v>
      </c>
      <c r="V254" t="str">
        <f t="shared" si="11"/>
        <v>No</v>
      </c>
    </row>
    <row r="255" spans="1:22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>
        <f t="shared" si="9"/>
        <v>1</v>
      </c>
      <c r="R255" t="str">
        <f t="shared" si="10"/>
        <v>Unique ID</v>
      </c>
      <c r="V255" t="str">
        <f t="shared" si="11"/>
        <v>No</v>
      </c>
    </row>
    <row r="256" spans="1:22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>
        <f t="shared" si="9"/>
        <v>1</v>
      </c>
      <c r="R256" t="str">
        <f t="shared" si="10"/>
        <v>Unique ID</v>
      </c>
      <c r="V256" t="str">
        <f t="shared" si="11"/>
        <v>No</v>
      </c>
    </row>
    <row r="257" spans="1:22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>
        <f t="shared" si="9"/>
        <v>1</v>
      </c>
      <c r="R257" t="str">
        <f t="shared" si="10"/>
        <v>Unique ID</v>
      </c>
      <c r="V257" t="str">
        <f t="shared" si="11"/>
        <v>No</v>
      </c>
    </row>
    <row r="258" spans="1:22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>
        <f t="shared" si="9"/>
        <v>1</v>
      </c>
      <c r="R258" t="str">
        <f t="shared" si="10"/>
        <v>Unique ID</v>
      </c>
      <c r="V258" t="str">
        <f t="shared" si="11"/>
        <v>No</v>
      </c>
    </row>
    <row r="259" spans="1:22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>
        <f t="shared" ref="Q259:Q322" si="12">COUNTIF($A:$A,A259)</f>
        <v>1</v>
      </c>
      <c r="R259" t="str">
        <f t="shared" ref="R259:R322" si="13">IF(Q259&gt;1,"Duplicate ID","Unique ID")</f>
        <v>Unique ID</v>
      </c>
      <c r="V259" t="str">
        <f t="shared" ref="V259:V322" si="14">IF(OR(L259&lt;$U$5,L259&gt;$U$6),"Yes","No")</f>
        <v>No</v>
      </c>
    </row>
    <row r="260" spans="1:22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>
        <f t="shared" si="12"/>
        <v>1</v>
      </c>
      <c r="R260" t="str">
        <f t="shared" si="13"/>
        <v>Unique ID</v>
      </c>
      <c r="V260" t="str">
        <f t="shared" si="14"/>
        <v>No</v>
      </c>
    </row>
    <row r="261" spans="1:22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>
        <f t="shared" si="12"/>
        <v>1</v>
      </c>
      <c r="R261" t="str">
        <f t="shared" si="13"/>
        <v>Unique ID</v>
      </c>
      <c r="V261" t="str">
        <f t="shared" si="14"/>
        <v>No</v>
      </c>
    </row>
    <row r="262" spans="1:22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>
        <f t="shared" si="12"/>
        <v>1</v>
      </c>
      <c r="R262" t="str">
        <f t="shared" si="13"/>
        <v>Unique ID</v>
      </c>
      <c r="V262" t="str">
        <f t="shared" si="14"/>
        <v>No</v>
      </c>
    </row>
    <row r="263" spans="1:22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>
        <f t="shared" si="12"/>
        <v>1</v>
      </c>
      <c r="R263" t="str">
        <f t="shared" si="13"/>
        <v>Unique ID</v>
      </c>
      <c r="V263" t="str">
        <f t="shared" si="14"/>
        <v>No</v>
      </c>
    </row>
    <row r="264" spans="1:22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>
        <f t="shared" si="12"/>
        <v>1</v>
      </c>
      <c r="R264" t="str">
        <f t="shared" si="13"/>
        <v>Unique ID</v>
      </c>
      <c r="V264" t="str">
        <f t="shared" si="14"/>
        <v>No</v>
      </c>
    </row>
    <row r="265" spans="1:22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>
        <f t="shared" si="12"/>
        <v>1</v>
      </c>
      <c r="R265" t="str">
        <f t="shared" si="13"/>
        <v>Unique ID</v>
      </c>
      <c r="V265" t="str">
        <f t="shared" si="14"/>
        <v>No</v>
      </c>
    </row>
    <row r="266" spans="1:22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>
        <f t="shared" si="12"/>
        <v>1</v>
      </c>
      <c r="R266" t="str">
        <f t="shared" si="13"/>
        <v>Unique ID</v>
      </c>
      <c r="V266" t="str">
        <f t="shared" si="14"/>
        <v>No</v>
      </c>
    </row>
    <row r="267" spans="1:22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>
        <f t="shared" si="12"/>
        <v>1</v>
      </c>
      <c r="R267" t="str">
        <f t="shared" si="13"/>
        <v>Unique ID</v>
      </c>
      <c r="V267" t="str">
        <f t="shared" si="14"/>
        <v>No</v>
      </c>
    </row>
    <row r="268" spans="1:22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>
        <f t="shared" si="12"/>
        <v>1</v>
      </c>
      <c r="R268" t="str">
        <f t="shared" si="13"/>
        <v>Unique ID</v>
      </c>
      <c r="V268" t="str">
        <f t="shared" si="14"/>
        <v>No</v>
      </c>
    </row>
    <row r="269" spans="1:22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>
        <f t="shared" si="12"/>
        <v>1</v>
      </c>
      <c r="R269" t="str">
        <f t="shared" si="13"/>
        <v>Unique ID</v>
      </c>
      <c r="V269" t="str">
        <f t="shared" si="14"/>
        <v>No</v>
      </c>
    </row>
    <row r="270" spans="1:22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>
        <f t="shared" si="12"/>
        <v>1</v>
      </c>
      <c r="R270" t="str">
        <f t="shared" si="13"/>
        <v>Unique ID</v>
      </c>
      <c r="V270" t="str">
        <f t="shared" si="14"/>
        <v>No</v>
      </c>
    </row>
    <row r="271" spans="1:22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>
        <f t="shared" si="12"/>
        <v>1</v>
      </c>
      <c r="R271" t="str">
        <f t="shared" si="13"/>
        <v>Unique ID</v>
      </c>
      <c r="V271" t="str">
        <f t="shared" si="14"/>
        <v>No</v>
      </c>
    </row>
    <row r="272" spans="1:22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>
        <f t="shared" si="12"/>
        <v>1</v>
      </c>
      <c r="R272" t="str">
        <f t="shared" si="13"/>
        <v>Unique ID</v>
      </c>
      <c r="V272" t="str">
        <f t="shared" si="14"/>
        <v>No</v>
      </c>
    </row>
    <row r="273" spans="1:22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>
        <f t="shared" si="12"/>
        <v>1</v>
      </c>
      <c r="R273" t="str">
        <f t="shared" si="13"/>
        <v>Unique ID</v>
      </c>
      <c r="V273" t="str">
        <f t="shared" si="14"/>
        <v>No</v>
      </c>
    </row>
    <row r="274" spans="1:22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>
        <f t="shared" si="12"/>
        <v>1</v>
      </c>
      <c r="R274" t="str">
        <f t="shared" si="13"/>
        <v>Unique ID</v>
      </c>
      <c r="V274" t="str">
        <f t="shared" si="14"/>
        <v>No</v>
      </c>
    </row>
    <row r="275" spans="1:22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>
        <f t="shared" si="12"/>
        <v>1</v>
      </c>
      <c r="R275" t="str">
        <f t="shared" si="13"/>
        <v>Unique ID</v>
      </c>
      <c r="V275" t="str">
        <f t="shared" si="14"/>
        <v>No</v>
      </c>
    </row>
    <row r="276" spans="1:22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>
        <f t="shared" si="12"/>
        <v>1</v>
      </c>
      <c r="R276" t="str">
        <f t="shared" si="13"/>
        <v>Unique ID</v>
      </c>
      <c r="V276" t="str">
        <f t="shared" si="14"/>
        <v>No</v>
      </c>
    </row>
    <row r="277" spans="1:22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>
        <f t="shared" si="12"/>
        <v>1</v>
      </c>
      <c r="R277" t="str">
        <f t="shared" si="13"/>
        <v>Unique ID</v>
      </c>
      <c r="V277" t="str">
        <f t="shared" si="14"/>
        <v>No</v>
      </c>
    </row>
    <row r="278" spans="1:22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>
        <f t="shared" si="12"/>
        <v>1</v>
      </c>
      <c r="R278" t="str">
        <f t="shared" si="13"/>
        <v>Unique ID</v>
      </c>
      <c r="V278" t="str">
        <f t="shared" si="14"/>
        <v>No</v>
      </c>
    </row>
    <row r="279" spans="1:22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>
        <f t="shared" si="12"/>
        <v>1</v>
      </c>
      <c r="R279" t="str">
        <f t="shared" si="13"/>
        <v>Unique ID</v>
      </c>
      <c r="V279" t="str">
        <f t="shared" si="14"/>
        <v>No</v>
      </c>
    </row>
    <row r="280" spans="1:22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>
        <f t="shared" si="12"/>
        <v>1</v>
      </c>
      <c r="R280" t="str">
        <f t="shared" si="13"/>
        <v>Unique ID</v>
      </c>
      <c r="V280" t="str">
        <f t="shared" si="14"/>
        <v>No</v>
      </c>
    </row>
    <row r="281" spans="1:22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>
        <f t="shared" si="12"/>
        <v>1</v>
      </c>
      <c r="R281" t="str">
        <f t="shared" si="13"/>
        <v>Unique ID</v>
      </c>
      <c r="V281" t="str">
        <f t="shared" si="14"/>
        <v>No</v>
      </c>
    </row>
    <row r="282" spans="1:22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>
        <f t="shared" si="12"/>
        <v>1</v>
      </c>
      <c r="R282" t="str">
        <f t="shared" si="13"/>
        <v>Unique ID</v>
      </c>
      <c r="V282" t="str">
        <f t="shared" si="14"/>
        <v>No</v>
      </c>
    </row>
    <row r="283" spans="1:22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>
        <f t="shared" si="12"/>
        <v>1</v>
      </c>
      <c r="R283" t="str">
        <f t="shared" si="13"/>
        <v>Unique ID</v>
      </c>
      <c r="V283" t="str">
        <f t="shared" si="14"/>
        <v>No</v>
      </c>
    </row>
    <row r="284" spans="1:22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>
        <f t="shared" si="12"/>
        <v>1</v>
      </c>
      <c r="R284" t="str">
        <f t="shared" si="13"/>
        <v>Unique ID</v>
      </c>
      <c r="V284" t="str">
        <f t="shared" si="14"/>
        <v>No</v>
      </c>
    </row>
    <row r="285" spans="1:22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>
        <f t="shared" si="12"/>
        <v>1</v>
      </c>
      <c r="R285" t="str">
        <f t="shared" si="13"/>
        <v>Unique ID</v>
      </c>
      <c r="V285" t="str">
        <f t="shared" si="14"/>
        <v>No</v>
      </c>
    </row>
    <row r="286" spans="1:22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>
        <f t="shared" si="12"/>
        <v>1</v>
      </c>
      <c r="R286" t="str">
        <f t="shared" si="13"/>
        <v>Unique ID</v>
      </c>
      <c r="V286" t="str">
        <f t="shared" si="14"/>
        <v>No</v>
      </c>
    </row>
    <row r="287" spans="1:22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>
        <f t="shared" si="12"/>
        <v>1</v>
      </c>
      <c r="R287" t="str">
        <f t="shared" si="13"/>
        <v>Unique ID</v>
      </c>
      <c r="V287" t="str">
        <f t="shared" si="14"/>
        <v>No</v>
      </c>
    </row>
    <row r="288" spans="1:22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>
        <f t="shared" si="12"/>
        <v>1</v>
      </c>
      <c r="R288" t="str">
        <f t="shared" si="13"/>
        <v>Unique ID</v>
      </c>
      <c r="V288" t="str">
        <f t="shared" si="14"/>
        <v>No</v>
      </c>
    </row>
    <row r="289" spans="1:22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>
        <f t="shared" si="12"/>
        <v>1</v>
      </c>
      <c r="R289" t="str">
        <f t="shared" si="13"/>
        <v>Unique ID</v>
      </c>
      <c r="V289" t="str">
        <f t="shared" si="14"/>
        <v>No</v>
      </c>
    </row>
    <row r="290" spans="1:22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>
        <f t="shared" si="12"/>
        <v>1</v>
      </c>
      <c r="R290" t="str">
        <f t="shared" si="13"/>
        <v>Unique ID</v>
      </c>
      <c r="V290" t="str">
        <f t="shared" si="14"/>
        <v>No</v>
      </c>
    </row>
    <row r="291" spans="1:22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>
        <f t="shared" si="12"/>
        <v>1</v>
      </c>
      <c r="R291" t="str">
        <f t="shared" si="13"/>
        <v>Unique ID</v>
      </c>
      <c r="V291" t="str">
        <f t="shared" si="14"/>
        <v>No</v>
      </c>
    </row>
    <row r="292" spans="1:22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>
        <f t="shared" si="12"/>
        <v>1</v>
      </c>
      <c r="R292" t="str">
        <f t="shared" si="13"/>
        <v>Unique ID</v>
      </c>
      <c r="V292" t="str">
        <f t="shared" si="14"/>
        <v>No</v>
      </c>
    </row>
    <row r="293" spans="1:22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>
        <f t="shared" si="12"/>
        <v>1</v>
      </c>
      <c r="R293" t="str">
        <f t="shared" si="13"/>
        <v>Unique ID</v>
      </c>
      <c r="V293" t="str">
        <f t="shared" si="14"/>
        <v>No</v>
      </c>
    </row>
    <row r="294" spans="1:22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>
        <f t="shared" si="12"/>
        <v>1</v>
      </c>
      <c r="R294" t="str">
        <f t="shared" si="13"/>
        <v>Unique ID</v>
      </c>
      <c r="V294" t="str">
        <f t="shared" si="14"/>
        <v>No</v>
      </c>
    </row>
    <row r="295" spans="1:22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>
        <f t="shared" si="12"/>
        <v>1</v>
      </c>
      <c r="R295" t="str">
        <f t="shared" si="13"/>
        <v>Unique ID</v>
      </c>
      <c r="V295" t="str">
        <f t="shared" si="14"/>
        <v>No</v>
      </c>
    </row>
    <row r="296" spans="1:22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>
        <f t="shared" si="12"/>
        <v>1</v>
      </c>
      <c r="R296" t="str">
        <f t="shared" si="13"/>
        <v>Unique ID</v>
      </c>
      <c r="V296" t="str">
        <f t="shared" si="14"/>
        <v>No</v>
      </c>
    </row>
    <row r="297" spans="1:22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>
        <f t="shared" si="12"/>
        <v>1</v>
      </c>
      <c r="R297" t="str">
        <f t="shared" si="13"/>
        <v>Unique ID</v>
      </c>
      <c r="V297" t="str">
        <f t="shared" si="14"/>
        <v>No</v>
      </c>
    </row>
    <row r="298" spans="1:22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>
        <f t="shared" si="12"/>
        <v>1</v>
      </c>
      <c r="R298" t="str">
        <f t="shared" si="13"/>
        <v>Unique ID</v>
      </c>
      <c r="V298" t="str">
        <f t="shared" si="14"/>
        <v>No</v>
      </c>
    </row>
    <row r="299" spans="1:22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>
        <f t="shared" si="12"/>
        <v>1</v>
      </c>
      <c r="R299" t="str">
        <f t="shared" si="13"/>
        <v>Unique ID</v>
      </c>
      <c r="V299" t="str">
        <f t="shared" si="14"/>
        <v>No</v>
      </c>
    </row>
    <row r="300" spans="1:22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>
        <f t="shared" si="12"/>
        <v>1</v>
      </c>
      <c r="R300" t="str">
        <f t="shared" si="13"/>
        <v>Unique ID</v>
      </c>
      <c r="V300" t="str">
        <f t="shared" si="14"/>
        <v>No</v>
      </c>
    </row>
    <row r="301" spans="1:22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>
        <f t="shared" si="12"/>
        <v>1</v>
      </c>
      <c r="R301" t="str">
        <f t="shared" si="13"/>
        <v>Unique ID</v>
      </c>
      <c r="V301" t="str">
        <f t="shared" si="14"/>
        <v>Yes</v>
      </c>
    </row>
    <row r="302" spans="1:22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>
        <f t="shared" si="12"/>
        <v>1</v>
      </c>
      <c r="R302" t="str">
        <f t="shared" si="13"/>
        <v>Unique ID</v>
      </c>
      <c r="V302" t="str">
        <f t="shared" si="14"/>
        <v>No</v>
      </c>
    </row>
    <row r="303" spans="1:22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>
        <f t="shared" si="12"/>
        <v>1</v>
      </c>
      <c r="R303" t="str">
        <f t="shared" si="13"/>
        <v>Unique ID</v>
      </c>
      <c r="V303" t="str">
        <f t="shared" si="14"/>
        <v>No</v>
      </c>
    </row>
    <row r="304" spans="1:22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>
        <f t="shared" si="12"/>
        <v>1</v>
      </c>
      <c r="R304" t="str">
        <f t="shared" si="13"/>
        <v>Unique ID</v>
      </c>
      <c r="V304" t="str">
        <f t="shared" si="14"/>
        <v>Yes</v>
      </c>
    </row>
    <row r="305" spans="1:22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>
        <f t="shared" si="12"/>
        <v>1</v>
      </c>
      <c r="R305" t="str">
        <f t="shared" si="13"/>
        <v>Unique ID</v>
      </c>
      <c r="V305" t="str">
        <f t="shared" si="14"/>
        <v>No</v>
      </c>
    </row>
    <row r="306" spans="1:22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>
        <f t="shared" si="12"/>
        <v>1</v>
      </c>
      <c r="R306" t="str">
        <f t="shared" si="13"/>
        <v>Unique ID</v>
      </c>
      <c r="V306" t="str">
        <f t="shared" si="14"/>
        <v>No</v>
      </c>
    </row>
    <row r="307" spans="1:22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>
        <f t="shared" si="12"/>
        <v>1</v>
      </c>
      <c r="R307" t="str">
        <f t="shared" si="13"/>
        <v>Unique ID</v>
      </c>
      <c r="V307" t="str">
        <f t="shared" si="14"/>
        <v>No</v>
      </c>
    </row>
    <row r="308" spans="1:22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>
        <f t="shared" si="12"/>
        <v>1</v>
      </c>
      <c r="R308" t="str">
        <f t="shared" si="13"/>
        <v>Unique ID</v>
      </c>
      <c r="V308" t="str">
        <f t="shared" si="14"/>
        <v>No</v>
      </c>
    </row>
    <row r="309" spans="1:22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>
        <f t="shared" si="12"/>
        <v>1</v>
      </c>
      <c r="R309" t="str">
        <f t="shared" si="13"/>
        <v>Unique ID</v>
      </c>
      <c r="V309" t="str">
        <f t="shared" si="14"/>
        <v>Yes</v>
      </c>
    </row>
    <row r="310" spans="1:22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>
        <f t="shared" si="12"/>
        <v>1</v>
      </c>
      <c r="R310" t="str">
        <f t="shared" si="13"/>
        <v>Unique ID</v>
      </c>
      <c r="V310" t="str">
        <f t="shared" si="14"/>
        <v>No</v>
      </c>
    </row>
    <row r="311" spans="1:22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>
        <f t="shared" si="12"/>
        <v>1</v>
      </c>
      <c r="R311" t="str">
        <f t="shared" si="13"/>
        <v>Unique ID</v>
      </c>
      <c r="V311" t="str">
        <f t="shared" si="14"/>
        <v>No</v>
      </c>
    </row>
    <row r="312" spans="1:22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>
        <f t="shared" si="12"/>
        <v>1</v>
      </c>
      <c r="R312" t="str">
        <f t="shared" si="13"/>
        <v>Unique ID</v>
      </c>
      <c r="V312" t="str">
        <f t="shared" si="14"/>
        <v>No</v>
      </c>
    </row>
    <row r="313" spans="1:22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>
        <f t="shared" si="12"/>
        <v>1</v>
      </c>
      <c r="R313" t="str">
        <f t="shared" si="13"/>
        <v>Unique ID</v>
      </c>
      <c r="V313" t="str">
        <f t="shared" si="14"/>
        <v>No</v>
      </c>
    </row>
    <row r="314" spans="1:22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>
        <f t="shared" si="12"/>
        <v>1</v>
      </c>
      <c r="R314" t="str">
        <f t="shared" si="13"/>
        <v>Unique ID</v>
      </c>
      <c r="V314" t="str">
        <f t="shared" si="14"/>
        <v>No</v>
      </c>
    </row>
    <row r="315" spans="1:22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>
        <f t="shared" si="12"/>
        <v>1</v>
      </c>
      <c r="R315" t="str">
        <f t="shared" si="13"/>
        <v>Unique ID</v>
      </c>
      <c r="V315" t="str">
        <f t="shared" si="14"/>
        <v>No</v>
      </c>
    </row>
    <row r="316" spans="1:22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>
        <f t="shared" si="12"/>
        <v>1</v>
      </c>
      <c r="R316" t="str">
        <f t="shared" si="13"/>
        <v>Unique ID</v>
      </c>
      <c r="V316" t="str">
        <f t="shared" si="14"/>
        <v>No</v>
      </c>
    </row>
    <row r="317" spans="1:22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>
        <f t="shared" si="12"/>
        <v>1</v>
      </c>
      <c r="R317" t="str">
        <f t="shared" si="13"/>
        <v>Unique ID</v>
      </c>
      <c r="V317" t="str">
        <f t="shared" si="14"/>
        <v>No</v>
      </c>
    </row>
    <row r="318" spans="1:22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>
        <f t="shared" si="12"/>
        <v>1</v>
      </c>
      <c r="R318" t="str">
        <f t="shared" si="13"/>
        <v>Unique ID</v>
      </c>
      <c r="V318" t="str">
        <f t="shared" si="14"/>
        <v>No</v>
      </c>
    </row>
    <row r="319" spans="1:22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>
        <f t="shared" si="12"/>
        <v>1</v>
      </c>
      <c r="R319" t="str">
        <f t="shared" si="13"/>
        <v>Unique ID</v>
      </c>
      <c r="V319" t="str">
        <f t="shared" si="14"/>
        <v>No</v>
      </c>
    </row>
    <row r="320" spans="1:22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>
        <f t="shared" si="12"/>
        <v>1</v>
      </c>
      <c r="R320" t="str">
        <f t="shared" si="13"/>
        <v>Unique ID</v>
      </c>
      <c r="V320" t="str">
        <f t="shared" si="14"/>
        <v>No</v>
      </c>
    </row>
    <row r="321" spans="1:22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>
        <f t="shared" si="12"/>
        <v>1</v>
      </c>
      <c r="R321" t="str">
        <f t="shared" si="13"/>
        <v>Unique ID</v>
      </c>
      <c r="V321" t="str">
        <f t="shared" si="14"/>
        <v>No</v>
      </c>
    </row>
    <row r="322" spans="1:22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>
        <f t="shared" si="12"/>
        <v>1</v>
      </c>
      <c r="R322" t="str">
        <f t="shared" si="13"/>
        <v>Unique ID</v>
      </c>
      <c r="V322" t="str">
        <f t="shared" si="14"/>
        <v>No</v>
      </c>
    </row>
    <row r="323" spans="1:22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>
        <f t="shared" ref="Q323:Q386" si="15">COUNTIF($A:$A,A323)</f>
        <v>1</v>
      </c>
      <c r="R323" t="str">
        <f t="shared" ref="R323:R386" si="16">IF(Q323&gt;1,"Duplicate ID","Unique ID")</f>
        <v>Unique ID</v>
      </c>
      <c r="V323" t="str">
        <f t="shared" ref="V323:V386" si="17">IF(OR(L323&lt;$U$5,L323&gt;$U$6),"Yes","No")</f>
        <v>No</v>
      </c>
    </row>
    <row r="324" spans="1:22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>
        <f t="shared" si="15"/>
        <v>1</v>
      </c>
      <c r="R324" t="str">
        <f t="shared" si="16"/>
        <v>Unique ID</v>
      </c>
      <c r="V324" t="str">
        <f t="shared" si="17"/>
        <v>No</v>
      </c>
    </row>
    <row r="325" spans="1:22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>
        <f t="shared" si="15"/>
        <v>1</v>
      </c>
      <c r="R325" t="str">
        <f t="shared" si="16"/>
        <v>Unique ID</v>
      </c>
      <c r="V325" t="str">
        <f t="shared" si="17"/>
        <v>No</v>
      </c>
    </row>
    <row r="326" spans="1:22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>
        <f t="shared" si="15"/>
        <v>1</v>
      </c>
      <c r="R326" t="str">
        <f t="shared" si="16"/>
        <v>Unique ID</v>
      </c>
      <c r="V326" t="str">
        <f t="shared" si="17"/>
        <v>No</v>
      </c>
    </row>
    <row r="327" spans="1:22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>
        <f t="shared" si="15"/>
        <v>1</v>
      </c>
      <c r="R327" t="str">
        <f t="shared" si="16"/>
        <v>Unique ID</v>
      </c>
      <c r="V327" t="str">
        <f t="shared" si="17"/>
        <v>No</v>
      </c>
    </row>
    <row r="328" spans="1:22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>
        <f t="shared" si="15"/>
        <v>1</v>
      </c>
      <c r="R328" t="str">
        <f t="shared" si="16"/>
        <v>Unique ID</v>
      </c>
      <c r="V328" t="str">
        <f t="shared" si="17"/>
        <v>No</v>
      </c>
    </row>
    <row r="329" spans="1:22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>
        <f t="shared" si="15"/>
        <v>1</v>
      </c>
      <c r="R329" t="str">
        <f t="shared" si="16"/>
        <v>Unique ID</v>
      </c>
      <c r="V329" t="str">
        <f t="shared" si="17"/>
        <v>No</v>
      </c>
    </row>
    <row r="330" spans="1:22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>
        <f t="shared" si="15"/>
        <v>1</v>
      </c>
      <c r="R330" t="str">
        <f t="shared" si="16"/>
        <v>Unique ID</v>
      </c>
      <c r="V330" t="str">
        <f t="shared" si="17"/>
        <v>No</v>
      </c>
    </row>
    <row r="331" spans="1:22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>
        <f t="shared" si="15"/>
        <v>1</v>
      </c>
      <c r="R331" t="str">
        <f t="shared" si="16"/>
        <v>Unique ID</v>
      </c>
      <c r="V331" t="str">
        <f t="shared" si="17"/>
        <v>No</v>
      </c>
    </row>
    <row r="332" spans="1:22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>
        <f t="shared" si="15"/>
        <v>1</v>
      </c>
      <c r="R332" t="str">
        <f t="shared" si="16"/>
        <v>Unique ID</v>
      </c>
      <c r="V332" t="str">
        <f t="shared" si="17"/>
        <v>Yes</v>
      </c>
    </row>
    <row r="333" spans="1:22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>
        <f t="shared" si="15"/>
        <v>1</v>
      </c>
      <c r="R333" t="str">
        <f t="shared" si="16"/>
        <v>Unique ID</v>
      </c>
      <c r="V333" t="str">
        <f t="shared" si="17"/>
        <v>No</v>
      </c>
    </row>
    <row r="334" spans="1:22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>
        <f t="shared" si="15"/>
        <v>1</v>
      </c>
      <c r="R334" t="str">
        <f t="shared" si="16"/>
        <v>Unique ID</v>
      </c>
      <c r="V334" t="str">
        <f t="shared" si="17"/>
        <v>No</v>
      </c>
    </row>
    <row r="335" spans="1:22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>
        <f t="shared" si="15"/>
        <v>1</v>
      </c>
      <c r="R335" t="str">
        <f t="shared" si="16"/>
        <v>Unique ID</v>
      </c>
      <c r="V335" t="str">
        <f t="shared" si="17"/>
        <v>No</v>
      </c>
    </row>
    <row r="336" spans="1:22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>
        <f t="shared" si="15"/>
        <v>1</v>
      </c>
      <c r="R336" t="str">
        <f t="shared" si="16"/>
        <v>Unique ID</v>
      </c>
      <c r="V336" t="str">
        <f t="shared" si="17"/>
        <v>Yes</v>
      </c>
    </row>
    <row r="337" spans="1:22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>
        <f t="shared" si="15"/>
        <v>1</v>
      </c>
      <c r="R337" t="str">
        <f t="shared" si="16"/>
        <v>Unique ID</v>
      </c>
      <c r="V337" t="str">
        <f t="shared" si="17"/>
        <v>Yes</v>
      </c>
    </row>
    <row r="338" spans="1:22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>
        <f t="shared" si="15"/>
        <v>1</v>
      </c>
      <c r="R338" t="str">
        <f t="shared" si="16"/>
        <v>Unique ID</v>
      </c>
      <c r="V338" t="str">
        <f t="shared" si="17"/>
        <v>No</v>
      </c>
    </row>
    <row r="339" spans="1:22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>
        <f t="shared" si="15"/>
        <v>1</v>
      </c>
      <c r="R339" t="str">
        <f t="shared" si="16"/>
        <v>Unique ID</v>
      </c>
      <c r="V339" t="str">
        <f t="shared" si="17"/>
        <v>No</v>
      </c>
    </row>
    <row r="340" spans="1:22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>
        <f t="shared" si="15"/>
        <v>1</v>
      </c>
      <c r="R340" t="str">
        <f t="shared" si="16"/>
        <v>Unique ID</v>
      </c>
      <c r="V340" t="str">
        <f t="shared" si="17"/>
        <v>No</v>
      </c>
    </row>
    <row r="341" spans="1:22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>
        <f t="shared" si="15"/>
        <v>1</v>
      </c>
      <c r="R341" t="str">
        <f t="shared" si="16"/>
        <v>Unique ID</v>
      </c>
      <c r="V341" t="str">
        <f t="shared" si="17"/>
        <v>No</v>
      </c>
    </row>
    <row r="342" spans="1:22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>
        <f t="shared" si="15"/>
        <v>1</v>
      </c>
      <c r="R342" t="str">
        <f t="shared" si="16"/>
        <v>Unique ID</v>
      </c>
      <c r="V342" t="str">
        <f t="shared" si="17"/>
        <v>No</v>
      </c>
    </row>
    <row r="343" spans="1:22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>
        <f t="shared" si="15"/>
        <v>1</v>
      </c>
      <c r="R343" t="str">
        <f t="shared" si="16"/>
        <v>Unique ID</v>
      </c>
      <c r="V343" t="str">
        <f t="shared" si="17"/>
        <v>No</v>
      </c>
    </row>
    <row r="344" spans="1:22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>
        <f t="shared" si="15"/>
        <v>1</v>
      </c>
      <c r="R344" t="str">
        <f t="shared" si="16"/>
        <v>Unique ID</v>
      </c>
      <c r="V344" t="str">
        <f t="shared" si="17"/>
        <v>No</v>
      </c>
    </row>
    <row r="345" spans="1:22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>
        <f t="shared" si="15"/>
        <v>1</v>
      </c>
      <c r="R345" t="str">
        <f t="shared" si="16"/>
        <v>Unique ID</v>
      </c>
      <c r="V345" t="str">
        <f t="shared" si="17"/>
        <v>No</v>
      </c>
    </row>
    <row r="346" spans="1:22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>
        <f t="shared" si="15"/>
        <v>1</v>
      </c>
      <c r="R346" t="str">
        <f t="shared" si="16"/>
        <v>Unique ID</v>
      </c>
      <c r="V346" t="str">
        <f t="shared" si="17"/>
        <v>No</v>
      </c>
    </row>
    <row r="347" spans="1:22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>
        <f t="shared" si="15"/>
        <v>1</v>
      </c>
      <c r="R347" t="str">
        <f t="shared" si="16"/>
        <v>Unique ID</v>
      </c>
      <c r="V347" t="str">
        <f t="shared" si="17"/>
        <v>No</v>
      </c>
    </row>
    <row r="348" spans="1:22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>
        <f t="shared" si="15"/>
        <v>1</v>
      </c>
      <c r="R348" t="str">
        <f t="shared" si="16"/>
        <v>Unique ID</v>
      </c>
      <c r="V348" t="str">
        <f t="shared" si="17"/>
        <v>No</v>
      </c>
    </row>
    <row r="349" spans="1:22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>
        <f t="shared" si="15"/>
        <v>1</v>
      </c>
      <c r="R349" t="str">
        <f t="shared" si="16"/>
        <v>Unique ID</v>
      </c>
      <c r="V349" t="str">
        <f t="shared" si="17"/>
        <v>No</v>
      </c>
    </row>
    <row r="350" spans="1:22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>
        <f t="shared" si="15"/>
        <v>1</v>
      </c>
      <c r="R350" t="str">
        <f t="shared" si="16"/>
        <v>Unique ID</v>
      </c>
      <c r="V350" t="str">
        <f t="shared" si="17"/>
        <v>No</v>
      </c>
    </row>
    <row r="351" spans="1:22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>
        <f t="shared" si="15"/>
        <v>1</v>
      </c>
      <c r="R351" t="str">
        <f t="shared" si="16"/>
        <v>Unique ID</v>
      </c>
      <c r="V351" t="str">
        <f t="shared" si="17"/>
        <v>No</v>
      </c>
    </row>
    <row r="352" spans="1:22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>
        <f t="shared" si="15"/>
        <v>1</v>
      </c>
      <c r="R352" t="str">
        <f t="shared" si="16"/>
        <v>Unique ID</v>
      </c>
      <c r="V352" t="str">
        <f t="shared" si="17"/>
        <v>No</v>
      </c>
    </row>
    <row r="353" spans="1:22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>
        <f t="shared" si="15"/>
        <v>1</v>
      </c>
      <c r="R353" t="str">
        <f t="shared" si="16"/>
        <v>Unique ID</v>
      </c>
      <c r="V353" t="str">
        <f t="shared" si="17"/>
        <v>No</v>
      </c>
    </row>
    <row r="354" spans="1:22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>
        <f t="shared" si="15"/>
        <v>1</v>
      </c>
      <c r="R354" t="str">
        <f t="shared" si="16"/>
        <v>Unique ID</v>
      </c>
      <c r="V354" t="str">
        <f t="shared" si="17"/>
        <v>No</v>
      </c>
    </row>
    <row r="355" spans="1:22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>
        <f t="shared" si="15"/>
        <v>1</v>
      </c>
      <c r="R355" t="str">
        <f t="shared" si="16"/>
        <v>Unique ID</v>
      </c>
      <c r="V355" t="str">
        <f t="shared" si="17"/>
        <v>No</v>
      </c>
    </row>
    <row r="356" spans="1:22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>
        <f t="shared" si="15"/>
        <v>1</v>
      </c>
      <c r="R356" t="str">
        <f t="shared" si="16"/>
        <v>Unique ID</v>
      </c>
      <c r="V356" t="str">
        <f t="shared" si="17"/>
        <v>No</v>
      </c>
    </row>
    <row r="357" spans="1:22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>
        <f t="shared" si="15"/>
        <v>1</v>
      </c>
      <c r="R357" t="str">
        <f t="shared" si="16"/>
        <v>Unique ID</v>
      </c>
      <c r="V357" t="str">
        <f t="shared" si="17"/>
        <v>No</v>
      </c>
    </row>
    <row r="358" spans="1:22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>
        <f t="shared" si="15"/>
        <v>1</v>
      </c>
      <c r="R358" t="str">
        <f t="shared" si="16"/>
        <v>Unique ID</v>
      </c>
      <c r="V358" t="str">
        <f t="shared" si="17"/>
        <v>No</v>
      </c>
    </row>
    <row r="359" spans="1:22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>
        <f t="shared" si="15"/>
        <v>1</v>
      </c>
      <c r="R359" t="str">
        <f t="shared" si="16"/>
        <v>Unique ID</v>
      </c>
      <c r="V359" t="str">
        <f t="shared" si="17"/>
        <v>No</v>
      </c>
    </row>
    <row r="360" spans="1:22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>
        <f t="shared" si="15"/>
        <v>1</v>
      </c>
      <c r="R360" t="str">
        <f t="shared" si="16"/>
        <v>Unique ID</v>
      </c>
      <c r="V360" t="str">
        <f t="shared" si="17"/>
        <v>No</v>
      </c>
    </row>
    <row r="361" spans="1:22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>
        <f t="shared" si="15"/>
        <v>1</v>
      </c>
      <c r="R361" t="str">
        <f t="shared" si="16"/>
        <v>Unique ID</v>
      </c>
      <c r="V361" t="str">
        <f t="shared" si="17"/>
        <v>No</v>
      </c>
    </row>
    <row r="362" spans="1:22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>
        <f t="shared" si="15"/>
        <v>1</v>
      </c>
      <c r="R362" t="str">
        <f t="shared" si="16"/>
        <v>Unique ID</v>
      </c>
      <c r="V362" t="str">
        <f t="shared" si="17"/>
        <v>No</v>
      </c>
    </row>
    <row r="363" spans="1:22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>
        <f t="shared" si="15"/>
        <v>1</v>
      </c>
      <c r="R363" t="str">
        <f t="shared" si="16"/>
        <v>Unique ID</v>
      </c>
      <c r="V363" t="str">
        <f t="shared" si="17"/>
        <v>No</v>
      </c>
    </row>
    <row r="364" spans="1:22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>
        <f t="shared" si="15"/>
        <v>1</v>
      </c>
      <c r="R364" t="str">
        <f t="shared" si="16"/>
        <v>Unique ID</v>
      </c>
      <c r="V364" t="str">
        <f t="shared" si="17"/>
        <v>No</v>
      </c>
    </row>
    <row r="365" spans="1:22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>
        <f t="shared" si="15"/>
        <v>1</v>
      </c>
      <c r="R365" t="str">
        <f t="shared" si="16"/>
        <v>Unique ID</v>
      </c>
      <c r="V365" t="str">
        <f t="shared" si="17"/>
        <v>No</v>
      </c>
    </row>
    <row r="366" spans="1:22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>
        <f t="shared" si="15"/>
        <v>1</v>
      </c>
      <c r="R366" t="str">
        <f t="shared" si="16"/>
        <v>Unique ID</v>
      </c>
      <c r="V366" t="str">
        <f t="shared" si="17"/>
        <v>No</v>
      </c>
    </row>
    <row r="367" spans="1:22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>
        <f t="shared" si="15"/>
        <v>1</v>
      </c>
      <c r="R367" t="str">
        <f t="shared" si="16"/>
        <v>Unique ID</v>
      </c>
      <c r="V367" t="str">
        <f t="shared" si="17"/>
        <v>No</v>
      </c>
    </row>
    <row r="368" spans="1:22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>
        <f t="shared" si="15"/>
        <v>1</v>
      </c>
      <c r="R368" t="str">
        <f t="shared" si="16"/>
        <v>Unique ID</v>
      </c>
      <c r="V368" t="str">
        <f t="shared" si="17"/>
        <v>No</v>
      </c>
    </row>
    <row r="369" spans="1:22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>
        <f t="shared" si="15"/>
        <v>1</v>
      </c>
      <c r="R369" t="str">
        <f t="shared" si="16"/>
        <v>Unique ID</v>
      </c>
      <c r="V369" t="str">
        <f t="shared" si="17"/>
        <v>No</v>
      </c>
    </row>
    <row r="370" spans="1:22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>
        <f t="shared" si="15"/>
        <v>1</v>
      </c>
      <c r="R370" t="str">
        <f t="shared" si="16"/>
        <v>Unique ID</v>
      </c>
      <c r="V370" t="str">
        <f t="shared" si="17"/>
        <v>No</v>
      </c>
    </row>
    <row r="371" spans="1:22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>
        <f t="shared" si="15"/>
        <v>1</v>
      </c>
      <c r="R371" t="str">
        <f t="shared" si="16"/>
        <v>Unique ID</v>
      </c>
      <c r="V371" t="str">
        <f t="shared" si="17"/>
        <v>No</v>
      </c>
    </row>
    <row r="372" spans="1:22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>
        <f t="shared" si="15"/>
        <v>1</v>
      </c>
      <c r="R372" t="str">
        <f t="shared" si="16"/>
        <v>Unique ID</v>
      </c>
      <c r="V372" t="str">
        <f t="shared" si="17"/>
        <v>No</v>
      </c>
    </row>
    <row r="373" spans="1:22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>
        <f t="shared" si="15"/>
        <v>1</v>
      </c>
      <c r="R373" t="str">
        <f t="shared" si="16"/>
        <v>Unique ID</v>
      </c>
      <c r="V373" t="str">
        <f t="shared" si="17"/>
        <v>No</v>
      </c>
    </row>
    <row r="374" spans="1:22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>
        <f t="shared" si="15"/>
        <v>1</v>
      </c>
      <c r="R374" t="str">
        <f t="shared" si="16"/>
        <v>Unique ID</v>
      </c>
      <c r="V374" t="str">
        <f t="shared" si="17"/>
        <v>No</v>
      </c>
    </row>
    <row r="375" spans="1:22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>
        <f t="shared" si="15"/>
        <v>1</v>
      </c>
      <c r="R375" t="str">
        <f t="shared" si="16"/>
        <v>Unique ID</v>
      </c>
      <c r="V375" t="str">
        <f t="shared" si="17"/>
        <v>No</v>
      </c>
    </row>
    <row r="376" spans="1:22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>
        <f t="shared" si="15"/>
        <v>1</v>
      </c>
      <c r="R376" t="str">
        <f t="shared" si="16"/>
        <v>Unique ID</v>
      </c>
      <c r="V376" t="str">
        <f t="shared" si="17"/>
        <v>No</v>
      </c>
    </row>
    <row r="377" spans="1:22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>
        <f t="shared" si="15"/>
        <v>1</v>
      </c>
      <c r="R377" t="str">
        <f t="shared" si="16"/>
        <v>Unique ID</v>
      </c>
      <c r="V377" t="str">
        <f t="shared" si="17"/>
        <v>No</v>
      </c>
    </row>
    <row r="378" spans="1:22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>
        <f t="shared" si="15"/>
        <v>1</v>
      </c>
      <c r="R378" t="str">
        <f t="shared" si="16"/>
        <v>Unique ID</v>
      </c>
      <c r="V378" t="str">
        <f t="shared" si="17"/>
        <v>No</v>
      </c>
    </row>
    <row r="379" spans="1:22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>
        <f t="shared" si="15"/>
        <v>1</v>
      </c>
      <c r="R379" t="str">
        <f t="shared" si="16"/>
        <v>Unique ID</v>
      </c>
      <c r="V379" t="str">
        <f t="shared" si="17"/>
        <v>No</v>
      </c>
    </row>
    <row r="380" spans="1:22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>
        <f t="shared" si="15"/>
        <v>1</v>
      </c>
      <c r="R380" t="str">
        <f t="shared" si="16"/>
        <v>Unique ID</v>
      </c>
      <c r="V380" t="str">
        <f t="shared" si="17"/>
        <v>No</v>
      </c>
    </row>
    <row r="381" spans="1:22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>
        <f t="shared" si="15"/>
        <v>1</v>
      </c>
      <c r="R381" t="str">
        <f t="shared" si="16"/>
        <v>Unique ID</v>
      </c>
      <c r="V381" t="str">
        <f t="shared" si="17"/>
        <v>No</v>
      </c>
    </row>
    <row r="382" spans="1:22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>
        <f t="shared" si="15"/>
        <v>1</v>
      </c>
      <c r="R382" t="str">
        <f t="shared" si="16"/>
        <v>Unique ID</v>
      </c>
      <c r="V382" t="str">
        <f t="shared" si="17"/>
        <v>No</v>
      </c>
    </row>
    <row r="383" spans="1:22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>
        <f t="shared" si="15"/>
        <v>1</v>
      </c>
      <c r="R383" t="str">
        <f t="shared" si="16"/>
        <v>Unique ID</v>
      </c>
      <c r="V383" t="str">
        <f t="shared" si="17"/>
        <v>No</v>
      </c>
    </row>
    <row r="384" spans="1:22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>
        <f t="shared" si="15"/>
        <v>1</v>
      </c>
      <c r="R384" t="str">
        <f t="shared" si="16"/>
        <v>Unique ID</v>
      </c>
      <c r="V384" t="str">
        <f t="shared" si="17"/>
        <v>No</v>
      </c>
    </row>
    <row r="385" spans="1:22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>
        <f t="shared" si="15"/>
        <v>1</v>
      </c>
      <c r="R385" t="str">
        <f t="shared" si="16"/>
        <v>Unique ID</v>
      </c>
      <c r="V385" t="str">
        <f t="shared" si="17"/>
        <v>No</v>
      </c>
    </row>
    <row r="386" spans="1:22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>
        <f t="shared" si="15"/>
        <v>1</v>
      </c>
      <c r="R386" t="str">
        <f t="shared" si="16"/>
        <v>Unique ID</v>
      </c>
      <c r="V386" t="str">
        <f t="shared" si="17"/>
        <v>No</v>
      </c>
    </row>
    <row r="387" spans="1:22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>
        <f t="shared" ref="Q387:Q450" si="18">COUNTIF($A:$A,A387)</f>
        <v>1</v>
      </c>
      <c r="R387" t="str">
        <f t="shared" ref="R387:R450" si="19">IF(Q387&gt;1,"Duplicate ID","Unique ID")</f>
        <v>Unique ID</v>
      </c>
      <c r="V387" t="str">
        <f t="shared" ref="V387:V450" si="20">IF(OR(L387&lt;$U$5,L387&gt;$U$6),"Yes","No")</f>
        <v>No</v>
      </c>
    </row>
    <row r="388" spans="1:22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>
        <f t="shared" si="18"/>
        <v>1</v>
      </c>
      <c r="R388" t="str">
        <f t="shared" si="19"/>
        <v>Unique ID</v>
      </c>
      <c r="V388" t="str">
        <f t="shared" si="20"/>
        <v>No</v>
      </c>
    </row>
    <row r="389" spans="1:22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>
        <f t="shared" si="18"/>
        <v>1</v>
      </c>
      <c r="R389" t="str">
        <f t="shared" si="19"/>
        <v>Unique ID</v>
      </c>
      <c r="V389" t="str">
        <f t="shared" si="20"/>
        <v>No</v>
      </c>
    </row>
    <row r="390" spans="1:22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>
        <f t="shared" si="18"/>
        <v>1</v>
      </c>
      <c r="R390" t="str">
        <f t="shared" si="19"/>
        <v>Unique ID</v>
      </c>
      <c r="V390" t="str">
        <f t="shared" si="20"/>
        <v>No</v>
      </c>
    </row>
    <row r="391" spans="1:22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>
        <f t="shared" si="18"/>
        <v>1</v>
      </c>
      <c r="R391" t="str">
        <f t="shared" si="19"/>
        <v>Unique ID</v>
      </c>
      <c r="V391" t="str">
        <f t="shared" si="20"/>
        <v>No</v>
      </c>
    </row>
    <row r="392" spans="1:22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>
        <f t="shared" si="18"/>
        <v>1</v>
      </c>
      <c r="R392" t="str">
        <f t="shared" si="19"/>
        <v>Unique ID</v>
      </c>
      <c r="V392" t="str">
        <f t="shared" si="20"/>
        <v>No</v>
      </c>
    </row>
    <row r="393" spans="1:22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>
        <f t="shared" si="18"/>
        <v>1</v>
      </c>
      <c r="R393" t="str">
        <f t="shared" si="19"/>
        <v>Unique ID</v>
      </c>
      <c r="V393" t="str">
        <f t="shared" si="20"/>
        <v>No</v>
      </c>
    </row>
    <row r="394" spans="1:22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>
        <f t="shared" si="18"/>
        <v>1</v>
      </c>
      <c r="R394" t="str">
        <f t="shared" si="19"/>
        <v>Unique ID</v>
      </c>
      <c r="V394" t="str">
        <f t="shared" si="20"/>
        <v>No</v>
      </c>
    </row>
    <row r="395" spans="1:22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>
        <f t="shared" si="18"/>
        <v>1</v>
      </c>
      <c r="R395" t="str">
        <f t="shared" si="19"/>
        <v>Unique ID</v>
      </c>
      <c r="V395" t="str">
        <f t="shared" si="20"/>
        <v>No</v>
      </c>
    </row>
    <row r="396" spans="1:22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>
        <f t="shared" si="18"/>
        <v>1</v>
      </c>
      <c r="R396" t="str">
        <f t="shared" si="19"/>
        <v>Unique ID</v>
      </c>
      <c r="V396" t="str">
        <f t="shared" si="20"/>
        <v>No</v>
      </c>
    </row>
    <row r="397" spans="1:22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>
        <f t="shared" si="18"/>
        <v>1</v>
      </c>
      <c r="R397" t="str">
        <f t="shared" si="19"/>
        <v>Unique ID</v>
      </c>
      <c r="V397" t="str">
        <f t="shared" si="20"/>
        <v>No</v>
      </c>
    </row>
    <row r="398" spans="1:22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>
        <f t="shared" si="18"/>
        <v>1</v>
      </c>
      <c r="R398" t="str">
        <f t="shared" si="19"/>
        <v>Unique ID</v>
      </c>
      <c r="V398" t="str">
        <f t="shared" si="20"/>
        <v>No</v>
      </c>
    </row>
    <row r="399" spans="1:22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>
        <f t="shared" si="18"/>
        <v>1</v>
      </c>
      <c r="R399" t="str">
        <f t="shared" si="19"/>
        <v>Unique ID</v>
      </c>
      <c r="V399" t="str">
        <f t="shared" si="20"/>
        <v>No</v>
      </c>
    </row>
    <row r="400" spans="1:22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>
        <f t="shared" si="18"/>
        <v>1</v>
      </c>
      <c r="R400" t="str">
        <f t="shared" si="19"/>
        <v>Unique ID</v>
      </c>
      <c r="V400" t="str">
        <f t="shared" si="20"/>
        <v>No</v>
      </c>
    </row>
    <row r="401" spans="1:22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>
        <f t="shared" si="18"/>
        <v>1</v>
      </c>
      <c r="R401" t="str">
        <f t="shared" si="19"/>
        <v>Unique ID</v>
      </c>
      <c r="V401" t="str">
        <f t="shared" si="20"/>
        <v>No</v>
      </c>
    </row>
    <row r="402" spans="1:22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>
        <f t="shared" si="18"/>
        <v>1</v>
      </c>
      <c r="R402" t="str">
        <f t="shared" si="19"/>
        <v>Unique ID</v>
      </c>
      <c r="V402" t="str">
        <f t="shared" si="20"/>
        <v>No</v>
      </c>
    </row>
    <row r="403" spans="1:22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>
        <f t="shared" si="18"/>
        <v>1</v>
      </c>
      <c r="R403" t="str">
        <f t="shared" si="19"/>
        <v>Unique ID</v>
      </c>
      <c r="V403" t="str">
        <f t="shared" si="20"/>
        <v>No</v>
      </c>
    </row>
    <row r="404" spans="1:22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>
        <f t="shared" si="18"/>
        <v>1</v>
      </c>
      <c r="R404" t="str">
        <f t="shared" si="19"/>
        <v>Unique ID</v>
      </c>
      <c r="V404" t="str">
        <f t="shared" si="20"/>
        <v>No</v>
      </c>
    </row>
    <row r="405" spans="1:22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>
        <f t="shared" si="18"/>
        <v>1</v>
      </c>
      <c r="R405" t="str">
        <f t="shared" si="19"/>
        <v>Unique ID</v>
      </c>
      <c r="V405" t="str">
        <f t="shared" si="20"/>
        <v>No</v>
      </c>
    </row>
    <row r="406" spans="1:22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>
        <f t="shared" si="18"/>
        <v>1</v>
      </c>
      <c r="R406" t="str">
        <f t="shared" si="19"/>
        <v>Unique ID</v>
      </c>
      <c r="V406" t="str">
        <f t="shared" si="20"/>
        <v>No</v>
      </c>
    </row>
    <row r="407" spans="1:22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>
        <f t="shared" si="18"/>
        <v>1</v>
      </c>
      <c r="R407" t="str">
        <f t="shared" si="19"/>
        <v>Unique ID</v>
      </c>
      <c r="V407" t="str">
        <f t="shared" si="20"/>
        <v>No</v>
      </c>
    </row>
    <row r="408" spans="1:22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>
        <f t="shared" si="18"/>
        <v>1</v>
      </c>
      <c r="R408" t="str">
        <f t="shared" si="19"/>
        <v>Unique ID</v>
      </c>
      <c r="V408" t="str">
        <f t="shared" si="20"/>
        <v>No</v>
      </c>
    </row>
    <row r="409" spans="1:22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>
        <f t="shared" si="18"/>
        <v>1</v>
      </c>
      <c r="R409" t="str">
        <f t="shared" si="19"/>
        <v>Unique ID</v>
      </c>
      <c r="V409" t="str">
        <f t="shared" si="20"/>
        <v>No</v>
      </c>
    </row>
    <row r="410" spans="1:22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>
        <f t="shared" si="18"/>
        <v>1</v>
      </c>
      <c r="R410" t="str">
        <f t="shared" si="19"/>
        <v>Unique ID</v>
      </c>
      <c r="V410" t="str">
        <f t="shared" si="20"/>
        <v>No</v>
      </c>
    </row>
    <row r="411" spans="1:22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>
        <f t="shared" si="18"/>
        <v>1</v>
      </c>
      <c r="R411" t="str">
        <f t="shared" si="19"/>
        <v>Unique ID</v>
      </c>
      <c r="V411" t="str">
        <f t="shared" si="20"/>
        <v>No</v>
      </c>
    </row>
    <row r="412" spans="1:22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>
        <f t="shared" si="18"/>
        <v>1</v>
      </c>
      <c r="R412" t="str">
        <f t="shared" si="19"/>
        <v>Unique ID</v>
      </c>
      <c r="V412" t="str">
        <f t="shared" si="20"/>
        <v>Yes</v>
      </c>
    </row>
    <row r="413" spans="1:22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>
        <f t="shared" si="18"/>
        <v>1</v>
      </c>
      <c r="R413" t="str">
        <f t="shared" si="19"/>
        <v>Unique ID</v>
      </c>
      <c r="V413" t="str">
        <f t="shared" si="20"/>
        <v>No</v>
      </c>
    </row>
    <row r="414" spans="1:22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>
        <f t="shared" si="18"/>
        <v>1</v>
      </c>
      <c r="R414" t="str">
        <f t="shared" si="19"/>
        <v>Unique ID</v>
      </c>
      <c r="V414" t="str">
        <f t="shared" si="20"/>
        <v>No</v>
      </c>
    </row>
    <row r="415" spans="1:22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>
        <f t="shared" si="18"/>
        <v>1</v>
      </c>
      <c r="R415" t="str">
        <f t="shared" si="19"/>
        <v>Unique ID</v>
      </c>
      <c r="V415" t="str">
        <f t="shared" si="20"/>
        <v>No</v>
      </c>
    </row>
    <row r="416" spans="1:22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>
        <f t="shared" si="18"/>
        <v>1</v>
      </c>
      <c r="R416" t="str">
        <f t="shared" si="19"/>
        <v>Unique ID</v>
      </c>
      <c r="V416" t="str">
        <f t="shared" si="20"/>
        <v>No</v>
      </c>
    </row>
    <row r="417" spans="1:22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>
        <f t="shared" si="18"/>
        <v>1</v>
      </c>
      <c r="R417" t="str">
        <f t="shared" si="19"/>
        <v>Unique ID</v>
      </c>
      <c r="V417" t="str">
        <f t="shared" si="20"/>
        <v>No</v>
      </c>
    </row>
    <row r="418" spans="1:22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>
        <f t="shared" si="18"/>
        <v>1</v>
      </c>
      <c r="R418" t="str">
        <f t="shared" si="19"/>
        <v>Unique ID</v>
      </c>
      <c r="V418" t="str">
        <f t="shared" si="20"/>
        <v>No</v>
      </c>
    </row>
    <row r="419" spans="1:22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>
        <f t="shared" si="18"/>
        <v>1</v>
      </c>
      <c r="R419" t="str">
        <f t="shared" si="19"/>
        <v>Unique ID</v>
      </c>
      <c r="V419" t="str">
        <f t="shared" si="20"/>
        <v>No</v>
      </c>
    </row>
    <row r="420" spans="1:22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>
        <f t="shared" si="18"/>
        <v>1</v>
      </c>
      <c r="R420" t="str">
        <f t="shared" si="19"/>
        <v>Unique ID</v>
      </c>
      <c r="V420" t="str">
        <f t="shared" si="20"/>
        <v>No</v>
      </c>
    </row>
    <row r="421" spans="1:22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>
        <f t="shared" si="18"/>
        <v>1</v>
      </c>
      <c r="R421" t="str">
        <f t="shared" si="19"/>
        <v>Unique ID</v>
      </c>
      <c r="V421" t="str">
        <f t="shared" si="20"/>
        <v>No</v>
      </c>
    </row>
    <row r="422" spans="1:22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>
        <f t="shared" si="18"/>
        <v>1</v>
      </c>
      <c r="R422" t="str">
        <f t="shared" si="19"/>
        <v>Unique ID</v>
      </c>
      <c r="V422" t="str">
        <f t="shared" si="20"/>
        <v>No</v>
      </c>
    </row>
    <row r="423" spans="1:22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>
        <f t="shared" si="18"/>
        <v>1</v>
      </c>
      <c r="R423" t="str">
        <f t="shared" si="19"/>
        <v>Unique ID</v>
      </c>
      <c r="V423" t="str">
        <f t="shared" si="20"/>
        <v>No</v>
      </c>
    </row>
    <row r="424" spans="1:22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>
        <f t="shared" si="18"/>
        <v>1</v>
      </c>
      <c r="R424" t="str">
        <f t="shared" si="19"/>
        <v>Unique ID</v>
      </c>
      <c r="V424" t="str">
        <f t="shared" si="20"/>
        <v>No</v>
      </c>
    </row>
    <row r="425" spans="1:22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>
        <f t="shared" si="18"/>
        <v>1</v>
      </c>
      <c r="R425" t="str">
        <f t="shared" si="19"/>
        <v>Unique ID</v>
      </c>
      <c r="V425" t="str">
        <f t="shared" si="20"/>
        <v>No</v>
      </c>
    </row>
    <row r="426" spans="1:22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>
        <f t="shared" si="18"/>
        <v>1</v>
      </c>
      <c r="R426" t="str">
        <f t="shared" si="19"/>
        <v>Unique ID</v>
      </c>
      <c r="V426" t="str">
        <f t="shared" si="20"/>
        <v>No</v>
      </c>
    </row>
    <row r="427" spans="1:22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>
        <f t="shared" si="18"/>
        <v>1</v>
      </c>
      <c r="R427" t="str">
        <f t="shared" si="19"/>
        <v>Unique ID</v>
      </c>
      <c r="V427" t="str">
        <f t="shared" si="20"/>
        <v>No</v>
      </c>
    </row>
    <row r="428" spans="1:22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>
        <f t="shared" si="18"/>
        <v>1</v>
      </c>
      <c r="R428" t="str">
        <f t="shared" si="19"/>
        <v>Unique ID</v>
      </c>
      <c r="V428" t="str">
        <f t="shared" si="20"/>
        <v>No</v>
      </c>
    </row>
    <row r="429" spans="1:22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>
        <f t="shared" si="18"/>
        <v>1</v>
      </c>
      <c r="R429" t="str">
        <f t="shared" si="19"/>
        <v>Unique ID</v>
      </c>
      <c r="V429" t="str">
        <f t="shared" si="20"/>
        <v>No</v>
      </c>
    </row>
    <row r="430" spans="1:22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>
        <f t="shared" si="18"/>
        <v>1</v>
      </c>
      <c r="R430" t="str">
        <f t="shared" si="19"/>
        <v>Unique ID</v>
      </c>
      <c r="V430" t="str">
        <f t="shared" si="20"/>
        <v>No</v>
      </c>
    </row>
    <row r="431" spans="1:22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>
        <f t="shared" si="18"/>
        <v>1</v>
      </c>
      <c r="R431" t="str">
        <f t="shared" si="19"/>
        <v>Unique ID</v>
      </c>
      <c r="V431" t="str">
        <f t="shared" si="20"/>
        <v>No</v>
      </c>
    </row>
    <row r="432" spans="1:22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>
        <f t="shared" si="18"/>
        <v>1</v>
      </c>
      <c r="R432" t="str">
        <f t="shared" si="19"/>
        <v>Unique ID</v>
      </c>
      <c r="V432" t="str">
        <f t="shared" si="20"/>
        <v>No</v>
      </c>
    </row>
    <row r="433" spans="1:22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>
        <f t="shared" si="18"/>
        <v>1</v>
      </c>
      <c r="R433" t="str">
        <f t="shared" si="19"/>
        <v>Unique ID</v>
      </c>
      <c r="V433" t="str">
        <f t="shared" si="20"/>
        <v>No</v>
      </c>
    </row>
    <row r="434" spans="1:22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>
        <f t="shared" si="18"/>
        <v>2</v>
      </c>
      <c r="R434" t="str">
        <f t="shared" si="19"/>
        <v>Duplicate ID</v>
      </c>
      <c r="V434" t="str">
        <f t="shared" si="20"/>
        <v>No</v>
      </c>
    </row>
    <row r="435" spans="1:22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>
        <f t="shared" si="18"/>
        <v>1</v>
      </c>
      <c r="R435" t="str">
        <f t="shared" si="19"/>
        <v>Unique ID</v>
      </c>
      <c r="V435" t="str">
        <f t="shared" si="20"/>
        <v>No</v>
      </c>
    </row>
    <row r="436" spans="1:22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>
        <f t="shared" si="18"/>
        <v>1</v>
      </c>
      <c r="R436" t="str">
        <f t="shared" si="19"/>
        <v>Unique ID</v>
      </c>
      <c r="V436" t="str">
        <f t="shared" si="20"/>
        <v>No</v>
      </c>
    </row>
    <row r="437" spans="1:22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>
        <f t="shared" si="18"/>
        <v>1</v>
      </c>
      <c r="R437" t="str">
        <f t="shared" si="19"/>
        <v>Unique ID</v>
      </c>
      <c r="V437" t="str">
        <f t="shared" si="20"/>
        <v>No</v>
      </c>
    </row>
    <row r="438" spans="1:22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>
        <f t="shared" si="18"/>
        <v>1</v>
      </c>
      <c r="R438" t="str">
        <f t="shared" si="19"/>
        <v>Unique ID</v>
      </c>
      <c r="V438" t="str">
        <f t="shared" si="20"/>
        <v>No</v>
      </c>
    </row>
    <row r="439" spans="1:22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>
        <f t="shared" si="18"/>
        <v>1</v>
      </c>
      <c r="R439" t="str">
        <f t="shared" si="19"/>
        <v>Unique ID</v>
      </c>
      <c r="V439" t="str">
        <f t="shared" si="20"/>
        <v>No</v>
      </c>
    </row>
    <row r="440" spans="1:22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>
        <f t="shared" si="18"/>
        <v>1</v>
      </c>
      <c r="R440" t="str">
        <f t="shared" si="19"/>
        <v>Unique ID</v>
      </c>
      <c r="V440" t="str">
        <f t="shared" si="20"/>
        <v>No</v>
      </c>
    </row>
    <row r="441" spans="1:22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>
        <f t="shared" si="18"/>
        <v>1</v>
      </c>
      <c r="R441" t="str">
        <f t="shared" si="19"/>
        <v>Unique ID</v>
      </c>
      <c r="V441" t="str">
        <f t="shared" si="20"/>
        <v>Yes</v>
      </c>
    </row>
    <row r="442" spans="1:22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>
        <f t="shared" si="18"/>
        <v>1</v>
      </c>
      <c r="R442" t="str">
        <f t="shared" si="19"/>
        <v>Unique ID</v>
      </c>
      <c r="V442" t="str">
        <f t="shared" si="20"/>
        <v>No</v>
      </c>
    </row>
    <row r="443" spans="1:22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>
        <f t="shared" si="18"/>
        <v>1</v>
      </c>
      <c r="R443" t="str">
        <f t="shared" si="19"/>
        <v>Unique ID</v>
      </c>
      <c r="V443" t="str">
        <f t="shared" si="20"/>
        <v>No</v>
      </c>
    </row>
    <row r="444" spans="1:22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>
        <f t="shared" si="18"/>
        <v>1</v>
      </c>
      <c r="R444" t="str">
        <f t="shared" si="19"/>
        <v>Unique ID</v>
      </c>
      <c r="V444" t="str">
        <f t="shared" si="20"/>
        <v>No</v>
      </c>
    </row>
    <row r="445" spans="1:22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>
        <f t="shared" si="18"/>
        <v>1</v>
      </c>
      <c r="R445" t="str">
        <f t="shared" si="19"/>
        <v>Unique ID</v>
      </c>
      <c r="V445" t="str">
        <f t="shared" si="20"/>
        <v>No</v>
      </c>
    </row>
    <row r="446" spans="1:22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>
        <f t="shared" si="18"/>
        <v>1</v>
      </c>
      <c r="R446" t="str">
        <f t="shared" si="19"/>
        <v>Unique ID</v>
      </c>
      <c r="V446" t="str">
        <f t="shared" si="20"/>
        <v>No</v>
      </c>
    </row>
    <row r="447" spans="1:22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>
        <f t="shared" si="18"/>
        <v>1</v>
      </c>
      <c r="R447" t="str">
        <f t="shared" si="19"/>
        <v>Unique ID</v>
      </c>
      <c r="V447" t="str">
        <f t="shared" si="20"/>
        <v>No</v>
      </c>
    </row>
    <row r="448" spans="1:22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>
        <f t="shared" si="18"/>
        <v>1</v>
      </c>
      <c r="R448" t="str">
        <f t="shared" si="19"/>
        <v>Unique ID</v>
      </c>
      <c r="V448" t="str">
        <f t="shared" si="20"/>
        <v>No</v>
      </c>
    </row>
    <row r="449" spans="1:22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>
        <f t="shared" si="18"/>
        <v>1</v>
      </c>
      <c r="R449" t="str">
        <f t="shared" si="19"/>
        <v>Unique ID</v>
      </c>
      <c r="V449" t="str">
        <f t="shared" si="20"/>
        <v>No</v>
      </c>
    </row>
    <row r="450" spans="1:22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>
        <f t="shared" si="18"/>
        <v>1</v>
      </c>
      <c r="R450" t="str">
        <f t="shared" si="19"/>
        <v>Unique ID</v>
      </c>
      <c r="V450" t="str">
        <f t="shared" si="20"/>
        <v>No</v>
      </c>
    </row>
    <row r="451" spans="1:22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>
        <f t="shared" ref="Q451:Q514" si="21">COUNTIF($A:$A,A451)</f>
        <v>1</v>
      </c>
      <c r="R451" t="str">
        <f t="shared" ref="R451:R514" si="22">IF(Q451&gt;1,"Duplicate ID","Unique ID")</f>
        <v>Unique ID</v>
      </c>
      <c r="V451" t="str">
        <f t="shared" ref="V451:V514" si="23">IF(OR(L451&lt;$U$5,L451&gt;$U$6),"Yes","No")</f>
        <v>No</v>
      </c>
    </row>
    <row r="452" spans="1:22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>
        <f t="shared" si="21"/>
        <v>1</v>
      </c>
      <c r="R452" t="str">
        <f t="shared" si="22"/>
        <v>Unique ID</v>
      </c>
      <c r="V452" t="str">
        <f t="shared" si="23"/>
        <v>No</v>
      </c>
    </row>
    <row r="453" spans="1:22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>
        <f t="shared" si="21"/>
        <v>1</v>
      </c>
      <c r="R453" t="str">
        <f t="shared" si="22"/>
        <v>Unique ID</v>
      </c>
      <c r="V453" t="str">
        <f t="shared" si="23"/>
        <v>No</v>
      </c>
    </row>
    <row r="454" spans="1:22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>
        <f t="shared" si="21"/>
        <v>1</v>
      </c>
      <c r="R454" t="str">
        <f t="shared" si="22"/>
        <v>Unique ID</v>
      </c>
      <c r="V454" t="str">
        <f t="shared" si="23"/>
        <v>No</v>
      </c>
    </row>
    <row r="455" spans="1:22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>
        <f t="shared" si="21"/>
        <v>1</v>
      </c>
      <c r="R455" t="str">
        <f t="shared" si="22"/>
        <v>Unique ID</v>
      </c>
      <c r="V455" t="str">
        <f t="shared" si="23"/>
        <v>No</v>
      </c>
    </row>
    <row r="456" spans="1:22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>
        <f t="shared" si="21"/>
        <v>1</v>
      </c>
      <c r="R456" t="str">
        <f t="shared" si="22"/>
        <v>Unique ID</v>
      </c>
      <c r="V456" t="str">
        <f t="shared" si="23"/>
        <v>No</v>
      </c>
    </row>
    <row r="457" spans="1:22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>
        <f t="shared" si="21"/>
        <v>1</v>
      </c>
      <c r="R457" t="str">
        <f t="shared" si="22"/>
        <v>Unique ID</v>
      </c>
      <c r="V457" t="str">
        <f t="shared" si="23"/>
        <v>No</v>
      </c>
    </row>
    <row r="458" spans="1:22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>
        <f t="shared" si="21"/>
        <v>1</v>
      </c>
      <c r="R458" t="str">
        <f t="shared" si="22"/>
        <v>Unique ID</v>
      </c>
      <c r="V458" t="str">
        <f t="shared" si="23"/>
        <v>No</v>
      </c>
    </row>
    <row r="459" spans="1:22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>
        <f t="shared" si="21"/>
        <v>1</v>
      </c>
      <c r="R459" t="str">
        <f t="shared" si="22"/>
        <v>Unique ID</v>
      </c>
      <c r="V459" t="str">
        <f t="shared" si="23"/>
        <v>No</v>
      </c>
    </row>
    <row r="460" spans="1:22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>
        <f t="shared" si="21"/>
        <v>1</v>
      </c>
      <c r="R460" t="str">
        <f t="shared" si="22"/>
        <v>Unique ID</v>
      </c>
      <c r="V460" t="str">
        <f t="shared" si="23"/>
        <v>No</v>
      </c>
    </row>
    <row r="461" spans="1:22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>
        <f t="shared" si="21"/>
        <v>1</v>
      </c>
      <c r="R461" t="str">
        <f t="shared" si="22"/>
        <v>Unique ID</v>
      </c>
      <c r="V461" t="str">
        <f t="shared" si="23"/>
        <v>No</v>
      </c>
    </row>
    <row r="462" spans="1:22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>
        <f t="shared" si="21"/>
        <v>1</v>
      </c>
      <c r="R462" t="str">
        <f t="shared" si="22"/>
        <v>Unique ID</v>
      </c>
      <c r="V462" t="str">
        <f t="shared" si="23"/>
        <v>No</v>
      </c>
    </row>
    <row r="463" spans="1:22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>
        <f t="shared" si="21"/>
        <v>1</v>
      </c>
      <c r="R463" t="str">
        <f t="shared" si="22"/>
        <v>Unique ID</v>
      </c>
      <c r="V463" t="str">
        <f t="shared" si="23"/>
        <v>No</v>
      </c>
    </row>
    <row r="464" spans="1:22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>
        <f t="shared" si="21"/>
        <v>1</v>
      </c>
      <c r="R464" t="str">
        <f t="shared" si="22"/>
        <v>Unique ID</v>
      </c>
      <c r="V464" t="str">
        <f t="shared" si="23"/>
        <v>No</v>
      </c>
    </row>
    <row r="465" spans="1:22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>
        <f t="shared" si="21"/>
        <v>1</v>
      </c>
      <c r="R465" t="str">
        <f t="shared" si="22"/>
        <v>Unique ID</v>
      </c>
      <c r="V465" t="str">
        <f t="shared" si="23"/>
        <v>No</v>
      </c>
    </row>
    <row r="466" spans="1:22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>
        <f t="shared" si="21"/>
        <v>1</v>
      </c>
      <c r="R466" t="str">
        <f t="shared" si="22"/>
        <v>Unique ID</v>
      </c>
      <c r="V466" t="str">
        <f t="shared" si="23"/>
        <v>No</v>
      </c>
    </row>
    <row r="467" spans="1:22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>
        <f t="shared" si="21"/>
        <v>1</v>
      </c>
      <c r="R467" t="str">
        <f t="shared" si="22"/>
        <v>Unique ID</v>
      </c>
      <c r="V467" t="str">
        <f t="shared" si="23"/>
        <v>No</v>
      </c>
    </row>
    <row r="468" spans="1:22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>
        <f t="shared" si="21"/>
        <v>1</v>
      </c>
      <c r="R468" t="str">
        <f t="shared" si="22"/>
        <v>Unique ID</v>
      </c>
      <c r="V468" t="str">
        <f t="shared" si="23"/>
        <v>No</v>
      </c>
    </row>
    <row r="469" spans="1:22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>
        <f t="shared" si="21"/>
        <v>1</v>
      </c>
      <c r="R469" t="str">
        <f t="shared" si="22"/>
        <v>Unique ID</v>
      </c>
      <c r="V469" t="str">
        <f t="shared" si="23"/>
        <v>No</v>
      </c>
    </row>
    <row r="470" spans="1:22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>
        <f t="shared" si="21"/>
        <v>1</v>
      </c>
      <c r="R470" t="str">
        <f t="shared" si="22"/>
        <v>Unique ID</v>
      </c>
      <c r="V470" t="str">
        <f t="shared" si="23"/>
        <v>No</v>
      </c>
    </row>
    <row r="471" spans="1:22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>
        <f t="shared" si="21"/>
        <v>1</v>
      </c>
      <c r="R471" t="str">
        <f t="shared" si="22"/>
        <v>Unique ID</v>
      </c>
      <c r="V471" t="str">
        <f t="shared" si="23"/>
        <v>No</v>
      </c>
    </row>
    <row r="472" spans="1:22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>
        <f t="shared" si="21"/>
        <v>1</v>
      </c>
      <c r="R472" t="str">
        <f t="shared" si="22"/>
        <v>Unique ID</v>
      </c>
      <c r="V472" t="str">
        <f t="shared" si="23"/>
        <v>No</v>
      </c>
    </row>
    <row r="473" spans="1:22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>
        <f t="shared" si="21"/>
        <v>1</v>
      </c>
      <c r="R473" t="str">
        <f t="shared" si="22"/>
        <v>Unique ID</v>
      </c>
      <c r="V473" t="str">
        <f t="shared" si="23"/>
        <v>No</v>
      </c>
    </row>
    <row r="474" spans="1:22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>
        <f t="shared" si="21"/>
        <v>1</v>
      </c>
      <c r="R474" t="str">
        <f t="shared" si="22"/>
        <v>Unique ID</v>
      </c>
      <c r="V474" t="str">
        <f t="shared" si="23"/>
        <v>No</v>
      </c>
    </row>
    <row r="475" spans="1:22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>
        <f t="shared" si="21"/>
        <v>1</v>
      </c>
      <c r="R475" t="str">
        <f t="shared" si="22"/>
        <v>Unique ID</v>
      </c>
      <c r="V475" t="str">
        <f t="shared" si="23"/>
        <v>No</v>
      </c>
    </row>
    <row r="476" spans="1:22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>
        <f t="shared" si="21"/>
        <v>1</v>
      </c>
      <c r="R476" t="str">
        <f t="shared" si="22"/>
        <v>Unique ID</v>
      </c>
      <c r="V476" t="str">
        <f t="shared" si="23"/>
        <v>No</v>
      </c>
    </row>
    <row r="477" spans="1:22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>
        <f t="shared" si="21"/>
        <v>1</v>
      </c>
      <c r="R477" t="str">
        <f t="shared" si="22"/>
        <v>Unique ID</v>
      </c>
      <c r="V477" t="str">
        <f t="shared" si="23"/>
        <v>No</v>
      </c>
    </row>
    <row r="478" spans="1:22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>
        <f t="shared" si="21"/>
        <v>1</v>
      </c>
      <c r="R478" t="str">
        <f t="shared" si="22"/>
        <v>Unique ID</v>
      </c>
      <c r="V478" t="str">
        <f t="shared" si="23"/>
        <v>No</v>
      </c>
    </row>
    <row r="479" spans="1:22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>
        <f t="shared" si="21"/>
        <v>1</v>
      </c>
      <c r="R479" t="str">
        <f t="shared" si="22"/>
        <v>Unique ID</v>
      </c>
      <c r="V479" t="str">
        <f t="shared" si="23"/>
        <v>No</v>
      </c>
    </row>
    <row r="480" spans="1:22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>
        <f t="shared" si="21"/>
        <v>1</v>
      </c>
      <c r="R480" t="str">
        <f t="shared" si="22"/>
        <v>Unique ID</v>
      </c>
      <c r="V480" t="str">
        <f t="shared" si="23"/>
        <v>No</v>
      </c>
    </row>
    <row r="481" spans="1:22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>
        <f t="shared" si="21"/>
        <v>1</v>
      </c>
      <c r="R481" t="str">
        <f t="shared" si="22"/>
        <v>Unique ID</v>
      </c>
      <c r="V481" t="str">
        <f t="shared" si="23"/>
        <v>No</v>
      </c>
    </row>
    <row r="482" spans="1:22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>
        <f t="shared" si="21"/>
        <v>1</v>
      </c>
      <c r="R482" t="str">
        <f t="shared" si="22"/>
        <v>Unique ID</v>
      </c>
      <c r="V482" t="str">
        <f t="shared" si="23"/>
        <v>No</v>
      </c>
    </row>
    <row r="483" spans="1:22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>
        <f t="shared" si="21"/>
        <v>1</v>
      </c>
      <c r="R483" t="str">
        <f t="shared" si="22"/>
        <v>Unique ID</v>
      </c>
      <c r="V483" t="str">
        <f t="shared" si="23"/>
        <v>No</v>
      </c>
    </row>
    <row r="484" spans="1:22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>
        <f t="shared" si="21"/>
        <v>1</v>
      </c>
      <c r="R484" t="str">
        <f t="shared" si="22"/>
        <v>Unique ID</v>
      </c>
      <c r="V484" t="str">
        <f t="shared" si="23"/>
        <v>No</v>
      </c>
    </row>
    <row r="485" spans="1:22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>
        <f t="shared" si="21"/>
        <v>1</v>
      </c>
      <c r="R485" t="str">
        <f t="shared" si="22"/>
        <v>Unique ID</v>
      </c>
      <c r="V485" t="str">
        <f t="shared" si="23"/>
        <v>No</v>
      </c>
    </row>
    <row r="486" spans="1:22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>
        <f t="shared" si="21"/>
        <v>1</v>
      </c>
      <c r="R486" t="str">
        <f t="shared" si="22"/>
        <v>Unique ID</v>
      </c>
      <c r="V486" t="str">
        <f t="shared" si="23"/>
        <v>No</v>
      </c>
    </row>
    <row r="487" spans="1:22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>
        <f t="shared" si="21"/>
        <v>1</v>
      </c>
      <c r="R487" t="str">
        <f t="shared" si="22"/>
        <v>Unique ID</v>
      </c>
      <c r="V487" t="str">
        <f t="shared" si="23"/>
        <v>No</v>
      </c>
    </row>
    <row r="488" spans="1:22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>
        <f t="shared" si="21"/>
        <v>1</v>
      </c>
      <c r="R488" t="str">
        <f t="shared" si="22"/>
        <v>Unique ID</v>
      </c>
      <c r="V488" t="str">
        <f t="shared" si="23"/>
        <v>No</v>
      </c>
    </row>
    <row r="489" spans="1:22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>
        <f t="shared" si="21"/>
        <v>1</v>
      </c>
      <c r="R489" t="str">
        <f t="shared" si="22"/>
        <v>Unique ID</v>
      </c>
      <c r="V489" t="str">
        <f t="shared" si="23"/>
        <v>No</v>
      </c>
    </row>
    <row r="490" spans="1:22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>
        <f t="shared" si="21"/>
        <v>1</v>
      </c>
      <c r="R490" t="str">
        <f t="shared" si="22"/>
        <v>Unique ID</v>
      </c>
      <c r="V490" t="str">
        <f t="shared" si="23"/>
        <v>No</v>
      </c>
    </row>
    <row r="491" spans="1:22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>
        <f t="shared" si="21"/>
        <v>1</v>
      </c>
      <c r="R491" t="str">
        <f t="shared" si="22"/>
        <v>Unique ID</v>
      </c>
      <c r="V491" t="str">
        <f t="shared" si="23"/>
        <v>No</v>
      </c>
    </row>
    <row r="492" spans="1:22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>
        <f t="shared" si="21"/>
        <v>1</v>
      </c>
      <c r="R492" t="str">
        <f t="shared" si="22"/>
        <v>Unique ID</v>
      </c>
      <c r="V492" t="str">
        <f t="shared" si="23"/>
        <v>No</v>
      </c>
    </row>
    <row r="493" spans="1:22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>
        <f t="shared" si="21"/>
        <v>1</v>
      </c>
      <c r="R493" t="str">
        <f t="shared" si="22"/>
        <v>Unique ID</v>
      </c>
      <c r="V493" t="str">
        <f t="shared" si="23"/>
        <v>No</v>
      </c>
    </row>
    <row r="494" spans="1:22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>
        <f t="shared" si="21"/>
        <v>1</v>
      </c>
      <c r="R494" t="str">
        <f t="shared" si="22"/>
        <v>Unique ID</v>
      </c>
      <c r="V494" t="str">
        <f t="shared" si="23"/>
        <v>No</v>
      </c>
    </row>
    <row r="495" spans="1:22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>
        <f t="shared" si="21"/>
        <v>1</v>
      </c>
      <c r="R495" t="str">
        <f t="shared" si="22"/>
        <v>Unique ID</v>
      </c>
      <c r="V495" t="str">
        <f t="shared" si="23"/>
        <v>No</v>
      </c>
    </row>
    <row r="496" spans="1:22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>
        <f t="shared" si="21"/>
        <v>1</v>
      </c>
      <c r="R496" t="str">
        <f t="shared" si="22"/>
        <v>Unique ID</v>
      </c>
      <c r="V496" t="str">
        <f t="shared" si="23"/>
        <v>No</v>
      </c>
    </row>
    <row r="497" spans="1:22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>
        <f t="shared" si="21"/>
        <v>1</v>
      </c>
      <c r="R497" t="str">
        <f t="shared" si="22"/>
        <v>Unique ID</v>
      </c>
      <c r="V497" t="str">
        <f t="shared" si="23"/>
        <v>No</v>
      </c>
    </row>
    <row r="498" spans="1:22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>
        <f t="shared" si="21"/>
        <v>1</v>
      </c>
      <c r="R498" t="str">
        <f t="shared" si="22"/>
        <v>Unique ID</v>
      </c>
      <c r="V498" t="str">
        <f t="shared" si="23"/>
        <v>No</v>
      </c>
    </row>
    <row r="499" spans="1:22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>
        <f t="shared" si="21"/>
        <v>1</v>
      </c>
      <c r="R499" t="str">
        <f t="shared" si="22"/>
        <v>Unique ID</v>
      </c>
      <c r="V499" t="str">
        <f t="shared" si="23"/>
        <v>No</v>
      </c>
    </row>
    <row r="500" spans="1:22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>
        <f t="shared" si="21"/>
        <v>1</v>
      </c>
      <c r="R500" t="str">
        <f t="shared" si="22"/>
        <v>Unique ID</v>
      </c>
      <c r="V500" t="str">
        <f t="shared" si="23"/>
        <v>No</v>
      </c>
    </row>
    <row r="501" spans="1:22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>
        <f t="shared" si="21"/>
        <v>1</v>
      </c>
      <c r="R501" t="str">
        <f t="shared" si="22"/>
        <v>Unique ID</v>
      </c>
      <c r="V501" t="str">
        <f t="shared" si="23"/>
        <v>No</v>
      </c>
    </row>
    <row r="502" spans="1:22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>
        <f t="shared" si="21"/>
        <v>1</v>
      </c>
      <c r="R502" t="str">
        <f t="shared" si="22"/>
        <v>Unique ID</v>
      </c>
      <c r="V502" t="str">
        <f t="shared" si="23"/>
        <v>Yes</v>
      </c>
    </row>
    <row r="503" spans="1:22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>
        <f t="shared" si="21"/>
        <v>1</v>
      </c>
      <c r="R503" t="str">
        <f t="shared" si="22"/>
        <v>Unique ID</v>
      </c>
      <c r="V503" t="str">
        <f t="shared" si="23"/>
        <v>No</v>
      </c>
    </row>
    <row r="504" spans="1:22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>
        <f t="shared" si="21"/>
        <v>1</v>
      </c>
      <c r="R504" t="str">
        <f t="shared" si="22"/>
        <v>Unique ID</v>
      </c>
      <c r="V504" t="str">
        <f t="shared" si="23"/>
        <v>No</v>
      </c>
    </row>
    <row r="505" spans="1:22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>
        <f t="shared" si="21"/>
        <v>1</v>
      </c>
      <c r="R505" t="str">
        <f t="shared" si="22"/>
        <v>Unique ID</v>
      </c>
      <c r="V505" t="str">
        <f t="shared" si="23"/>
        <v>No</v>
      </c>
    </row>
    <row r="506" spans="1:22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>
        <f t="shared" si="21"/>
        <v>1</v>
      </c>
      <c r="R506" t="str">
        <f t="shared" si="22"/>
        <v>Unique ID</v>
      </c>
      <c r="V506" t="str">
        <f t="shared" si="23"/>
        <v>No</v>
      </c>
    </row>
    <row r="507" spans="1:22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>
        <f t="shared" si="21"/>
        <v>1</v>
      </c>
      <c r="R507" t="str">
        <f t="shared" si="22"/>
        <v>Unique ID</v>
      </c>
      <c r="V507" t="str">
        <f t="shared" si="23"/>
        <v>No</v>
      </c>
    </row>
    <row r="508" spans="1:22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>
        <f t="shared" si="21"/>
        <v>1</v>
      </c>
      <c r="R508" t="str">
        <f t="shared" si="22"/>
        <v>Unique ID</v>
      </c>
      <c r="V508" t="str">
        <f t="shared" si="23"/>
        <v>No</v>
      </c>
    </row>
    <row r="509" spans="1:22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>
        <f t="shared" si="21"/>
        <v>1</v>
      </c>
      <c r="R509" t="str">
        <f t="shared" si="22"/>
        <v>Unique ID</v>
      </c>
      <c r="V509" t="str">
        <f t="shared" si="23"/>
        <v>No</v>
      </c>
    </row>
    <row r="510" spans="1:22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>
        <f t="shared" si="21"/>
        <v>1</v>
      </c>
      <c r="R510" t="str">
        <f t="shared" si="22"/>
        <v>Unique ID</v>
      </c>
      <c r="V510" t="str">
        <f t="shared" si="23"/>
        <v>No</v>
      </c>
    </row>
    <row r="511" spans="1:22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>
        <f t="shared" si="21"/>
        <v>1</v>
      </c>
      <c r="R511" t="str">
        <f t="shared" si="22"/>
        <v>Unique ID</v>
      </c>
      <c r="V511" t="str">
        <f t="shared" si="23"/>
        <v>No</v>
      </c>
    </row>
    <row r="512" spans="1:22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>
        <f t="shared" si="21"/>
        <v>1</v>
      </c>
      <c r="R512" t="str">
        <f t="shared" si="22"/>
        <v>Unique ID</v>
      </c>
      <c r="V512" t="str">
        <f t="shared" si="23"/>
        <v>No</v>
      </c>
    </row>
    <row r="513" spans="1:22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>
        <f t="shared" si="21"/>
        <v>1</v>
      </c>
      <c r="R513" t="str">
        <f t="shared" si="22"/>
        <v>Unique ID</v>
      </c>
      <c r="V513" t="str">
        <f t="shared" si="23"/>
        <v>No</v>
      </c>
    </row>
    <row r="514" spans="1:22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>
        <f t="shared" si="21"/>
        <v>1</v>
      </c>
      <c r="R514" t="str">
        <f t="shared" si="22"/>
        <v>Unique ID</v>
      </c>
      <c r="V514" t="str">
        <f t="shared" si="23"/>
        <v>No</v>
      </c>
    </row>
    <row r="515" spans="1:22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>
        <f t="shared" ref="Q515:Q578" si="24">COUNTIF($A:$A,A515)</f>
        <v>1</v>
      </c>
      <c r="R515" t="str">
        <f t="shared" ref="R515:R578" si="25">IF(Q515&gt;1,"Duplicate ID","Unique ID")</f>
        <v>Unique ID</v>
      </c>
      <c r="V515" t="str">
        <f t="shared" ref="V515:V578" si="26">IF(OR(L515&lt;$U$5,L515&gt;$U$6),"Yes","No")</f>
        <v>No</v>
      </c>
    </row>
    <row r="516" spans="1:22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>
        <f t="shared" si="24"/>
        <v>1</v>
      </c>
      <c r="R516" t="str">
        <f t="shared" si="25"/>
        <v>Unique ID</v>
      </c>
      <c r="V516" t="str">
        <f t="shared" si="26"/>
        <v>No</v>
      </c>
    </row>
    <row r="517" spans="1:22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>
        <f t="shared" si="24"/>
        <v>1</v>
      </c>
      <c r="R517" t="str">
        <f t="shared" si="25"/>
        <v>Unique ID</v>
      </c>
      <c r="V517" t="str">
        <f t="shared" si="26"/>
        <v>No</v>
      </c>
    </row>
    <row r="518" spans="1:22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>
        <f t="shared" si="24"/>
        <v>1</v>
      </c>
      <c r="R518" t="str">
        <f t="shared" si="25"/>
        <v>Unique ID</v>
      </c>
      <c r="V518" t="str">
        <f t="shared" si="26"/>
        <v>No</v>
      </c>
    </row>
    <row r="519" spans="1:22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>
        <f t="shared" si="24"/>
        <v>1</v>
      </c>
      <c r="R519" t="str">
        <f t="shared" si="25"/>
        <v>Unique ID</v>
      </c>
      <c r="V519" t="str">
        <f t="shared" si="26"/>
        <v>No</v>
      </c>
    </row>
    <row r="520" spans="1:22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>
        <f t="shared" si="24"/>
        <v>1</v>
      </c>
      <c r="R520" t="str">
        <f t="shared" si="25"/>
        <v>Unique ID</v>
      </c>
      <c r="V520" t="str">
        <f t="shared" si="26"/>
        <v>No</v>
      </c>
    </row>
    <row r="521" spans="1:22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>
        <f t="shared" si="24"/>
        <v>1</v>
      </c>
      <c r="R521" t="str">
        <f t="shared" si="25"/>
        <v>Unique ID</v>
      </c>
      <c r="V521" t="str">
        <f t="shared" si="26"/>
        <v>No</v>
      </c>
    </row>
    <row r="522" spans="1:22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>
        <f t="shared" si="24"/>
        <v>1</v>
      </c>
      <c r="R522" t="str">
        <f t="shared" si="25"/>
        <v>Unique ID</v>
      </c>
      <c r="V522" t="str">
        <f t="shared" si="26"/>
        <v>No</v>
      </c>
    </row>
    <row r="523" spans="1:22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>
        <f t="shared" si="24"/>
        <v>1</v>
      </c>
      <c r="R523" t="str">
        <f t="shared" si="25"/>
        <v>Unique ID</v>
      </c>
      <c r="V523" t="str">
        <f t="shared" si="26"/>
        <v>No</v>
      </c>
    </row>
    <row r="524" spans="1:22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>
        <f t="shared" si="24"/>
        <v>1</v>
      </c>
      <c r="R524" t="str">
        <f t="shared" si="25"/>
        <v>Unique ID</v>
      </c>
      <c r="V524" t="str">
        <f t="shared" si="26"/>
        <v>No</v>
      </c>
    </row>
    <row r="525" spans="1:22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>
        <f t="shared" si="24"/>
        <v>1</v>
      </c>
      <c r="R525" t="str">
        <f t="shared" si="25"/>
        <v>Unique ID</v>
      </c>
      <c r="V525" t="str">
        <f t="shared" si="26"/>
        <v>No</v>
      </c>
    </row>
    <row r="526" spans="1:22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>
        <f t="shared" si="24"/>
        <v>1</v>
      </c>
      <c r="R526" t="str">
        <f t="shared" si="25"/>
        <v>Unique ID</v>
      </c>
      <c r="V526" t="str">
        <f t="shared" si="26"/>
        <v>No</v>
      </c>
    </row>
    <row r="527" spans="1:22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>
        <f t="shared" si="24"/>
        <v>1</v>
      </c>
      <c r="R527" t="str">
        <f t="shared" si="25"/>
        <v>Unique ID</v>
      </c>
      <c r="V527" t="str">
        <f t="shared" si="26"/>
        <v>No</v>
      </c>
    </row>
    <row r="528" spans="1:22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>
        <f t="shared" si="24"/>
        <v>1</v>
      </c>
      <c r="R528" t="str">
        <f t="shared" si="25"/>
        <v>Unique ID</v>
      </c>
      <c r="V528" t="str">
        <f t="shared" si="26"/>
        <v>No</v>
      </c>
    </row>
    <row r="529" spans="1:22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>
        <f t="shared" si="24"/>
        <v>1</v>
      </c>
      <c r="R529" t="str">
        <f t="shared" si="25"/>
        <v>Unique ID</v>
      </c>
      <c r="V529" t="str">
        <f t="shared" si="26"/>
        <v>No</v>
      </c>
    </row>
    <row r="530" spans="1:22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>
        <f t="shared" si="24"/>
        <v>1</v>
      </c>
      <c r="R530" t="str">
        <f t="shared" si="25"/>
        <v>Unique ID</v>
      </c>
      <c r="V530" t="str">
        <f t="shared" si="26"/>
        <v>No</v>
      </c>
    </row>
    <row r="531" spans="1:22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>
        <f t="shared" si="24"/>
        <v>1</v>
      </c>
      <c r="R531" t="str">
        <f t="shared" si="25"/>
        <v>Unique ID</v>
      </c>
      <c r="V531" t="str">
        <f t="shared" si="26"/>
        <v>No</v>
      </c>
    </row>
    <row r="532" spans="1:22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>
        <f t="shared" si="24"/>
        <v>1</v>
      </c>
      <c r="R532" t="str">
        <f t="shared" si="25"/>
        <v>Unique ID</v>
      </c>
      <c r="V532" t="str">
        <f t="shared" si="26"/>
        <v>No</v>
      </c>
    </row>
    <row r="533" spans="1:22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>
        <f t="shared" si="24"/>
        <v>1</v>
      </c>
      <c r="R533" t="str">
        <f t="shared" si="25"/>
        <v>Unique ID</v>
      </c>
      <c r="V533" t="str">
        <f t="shared" si="26"/>
        <v>No</v>
      </c>
    </row>
    <row r="534" spans="1:22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>
        <f t="shared" si="24"/>
        <v>1</v>
      </c>
      <c r="R534" t="str">
        <f t="shared" si="25"/>
        <v>Unique ID</v>
      </c>
      <c r="V534" t="str">
        <f t="shared" si="26"/>
        <v>No</v>
      </c>
    </row>
    <row r="535" spans="1:22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>
        <f t="shared" si="24"/>
        <v>1</v>
      </c>
      <c r="R535" t="str">
        <f t="shared" si="25"/>
        <v>Unique ID</v>
      </c>
      <c r="V535" t="str">
        <f t="shared" si="26"/>
        <v>No</v>
      </c>
    </row>
    <row r="536" spans="1:22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>
        <f t="shared" si="24"/>
        <v>1</v>
      </c>
      <c r="R536" t="str">
        <f t="shared" si="25"/>
        <v>Unique ID</v>
      </c>
      <c r="V536" t="str">
        <f t="shared" si="26"/>
        <v>No</v>
      </c>
    </row>
    <row r="537" spans="1:22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>
        <f t="shared" si="24"/>
        <v>1</v>
      </c>
      <c r="R537" t="str">
        <f t="shared" si="25"/>
        <v>Unique ID</v>
      </c>
      <c r="V537" t="str">
        <f t="shared" si="26"/>
        <v>No</v>
      </c>
    </row>
    <row r="538" spans="1:22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>
        <f t="shared" si="24"/>
        <v>1</v>
      </c>
      <c r="R538" t="str">
        <f t="shared" si="25"/>
        <v>Unique ID</v>
      </c>
      <c r="V538" t="str">
        <f t="shared" si="26"/>
        <v>No</v>
      </c>
    </row>
    <row r="539" spans="1:22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>
        <f t="shared" si="24"/>
        <v>1</v>
      </c>
      <c r="R539" t="str">
        <f t="shared" si="25"/>
        <v>Unique ID</v>
      </c>
      <c r="V539" t="str">
        <f t="shared" si="26"/>
        <v>No</v>
      </c>
    </row>
    <row r="540" spans="1:22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>
        <f t="shared" si="24"/>
        <v>1</v>
      </c>
      <c r="R540" t="str">
        <f t="shared" si="25"/>
        <v>Unique ID</v>
      </c>
      <c r="V540" t="str">
        <f t="shared" si="26"/>
        <v>No</v>
      </c>
    </row>
    <row r="541" spans="1:22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>
        <f t="shared" si="24"/>
        <v>1</v>
      </c>
      <c r="R541" t="str">
        <f t="shared" si="25"/>
        <v>Unique ID</v>
      </c>
      <c r="V541" t="str">
        <f t="shared" si="26"/>
        <v>No</v>
      </c>
    </row>
    <row r="542" spans="1:22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>
        <f t="shared" si="24"/>
        <v>2</v>
      </c>
      <c r="R542" t="str">
        <f t="shared" si="25"/>
        <v>Duplicate ID</v>
      </c>
      <c r="V542" t="str">
        <f t="shared" si="26"/>
        <v>No</v>
      </c>
    </row>
    <row r="543" spans="1:22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>
        <f t="shared" si="24"/>
        <v>1</v>
      </c>
      <c r="R543" t="str">
        <f t="shared" si="25"/>
        <v>Unique ID</v>
      </c>
      <c r="V543" t="str">
        <f t="shared" si="26"/>
        <v>No</v>
      </c>
    </row>
    <row r="544" spans="1:22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>
        <f t="shared" si="24"/>
        <v>1</v>
      </c>
      <c r="R544" t="str">
        <f t="shared" si="25"/>
        <v>Unique ID</v>
      </c>
      <c r="V544" t="str">
        <f t="shared" si="26"/>
        <v>No</v>
      </c>
    </row>
    <row r="545" spans="1:22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>
        <f t="shared" si="24"/>
        <v>1</v>
      </c>
      <c r="R545" t="str">
        <f t="shared" si="25"/>
        <v>Unique ID</v>
      </c>
      <c r="V545" t="str">
        <f t="shared" si="26"/>
        <v>No</v>
      </c>
    </row>
    <row r="546" spans="1:22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>
        <f t="shared" si="24"/>
        <v>1</v>
      </c>
      <c r="R546" t="str">
        <f t="shared" si="25"/>
        <v>Unique ID</v>
      </c>
      <c r="V546" t="str">
        <f t="shared" si="26"/>
        <v>No</v>
      </c>
    </row>
    <row r="547" spans="1:22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>
        <f t="shared" si="24"/>
        <v>1</v>
      </c>
      <c r="R547" t="str">
        <f t="shared" si="25"/>
        <v>Unique ID</v>
      </c>
      <c r="V547" t="str">
        <f t="shared" si="26"/>
        <v>No</v>
      </c>
    </row>
    <row r="548" spans="1:22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>
        <f t="shared" si="24"/>
        <v>1</v>
      </c>
      <c r="R548" t="str">
        <f t="shared" si="25"/>
        <v>Unique ID</v>
      </c>
      <c r="V548" t="str">
        <f t="shared" si="26"/>
        <v>No</v>
      </c>
    </row>
    <row r="549" spans="1:22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>
        <f t="shared" si="24"/>
        <v>1</v>
      </c>
      <c r="R549" t="str">
        <f t="shared" si="25"/>
        <v>Unique ID</v>
      </c>
      <c r="V549" t="str">
        <f t="shared" si="26"/>
        <v>No</v>
      </c>
    </row>
    <row r="550" spans="1:22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>
        <f t="shared" si="24"/>
        <v>1</v>
      </c>
      <c r="R550" t="str">
        <f t="shared" si="25"/>
        <v>Unique ID</v>
      </c>
      <c r="V550" t="str">
        <f t="shared" si="26"/>
        <v>No</v>
      </c>
    </row>
    <row r="551" spans="1:22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>
        <f t="shared" si="24"/>
        <v>1</v>
      </c>
      <c r="R551" t="str">
        <f t="shared" si="25"/>
        <v>Unique ID</v>
      </c>
      <c r="V551" t="str">
        <f t="shared" si="26"/>
        <v>No</v>
      </c>
    </row>
    <row r="552" spans="1:22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>
        <f t="shared" si="24"/>
        <v>1</v>
      </c>
      <c r="R552" t="str">
        <f t="shared" si="25"/>
        <v>Unique ID</v>
      </c>
      <c r="V552" t="str">
        <f t="shared" si="26"/>
        <v>No</v>
      </c>
    </row>
    <row r="553" spans="1:22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>
        <f t="shared" si="24"/>
        <v>1</v>
      </c>
      <c r="R553" t="str">
        <f t="shared" si="25"/>
        <v>Unique ID</v>
      </c>
      <c r="V553" t="str">
        <f t="shared" si="26"/>
        <v>No</v>
      </c>
    </row>
    <row r="554" spans="1:22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>
        <f t="shared" si="24"/>
        <v>1</v>
      </c>
      <c r="R554" t="str">
        <f t="shared" si="25"/>
        <v>Unique ID</v>
      </c>
      <c r="V554" t="str">
        <f t="shared" si="26"/>
        <v>No</v>
      </c>
    </row>
    <row r="555" spans="1:22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>
        <f t="shared" si="24"/>
        <v>1</v>
      </c>
      <c r="R555" t="str">
        <f t="shared" si="25"/>
        <v>Unique ID</v>
      </c>
      <c r="V555" t="str">
        <f t="shared" si="26"/>
        <v>No</v>
      </c>
    </row>
    <row r="556" spans="1:22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>
        <f t="shared" si="24"/>
        <v>1</v>
      </c>
      <c r="R556" t="str">
        <f t="shared" si="25"/>
        <v>Unique ID</v>
      </c>
      <c r="V556" t="str">
        <f t="shared" si="26"/>
        <v>No</v>
      </c>
    </row>
    <row r="557" spans="1:22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>
        <f t="shared" si="24"/>
        <v>1</v>
      </c>
      <c r="R557" t="str">
        <f t="shared" si="25"/>
        <v>Unique ID</v>
      </c>
      <c r="V557" t="str">
        <f t="shared" si="26"/>
        <v>No</v>
      </c>
    </row>
    <row r="558" spans="1:22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>
        <f t="shared" si="24"/>
        <v>1</v>
      </c>
      <c r="R558" t="str">
        <f t="shared" si="25"/>
        <v>Unique ID</v>
      </c>
      <c r="V558" t="str">
        <f t="shared" si="26"/>
        <v>No</v>
      </c>
    </row>
    <row r="559" spans="1:22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>
        <f t="shared" si="24"/>
        <v>1</v>
      </c>
      <c r="R559" t="str">
        <f t="shared" si="25"/>
        <v>Unique ID</v>
      </c>
      <c r="V559" t="str">
        <f t="shared" si="26"/>
        <v>No</v>
      </c>
    </row>
    <row r="560" spans="1:22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>
        <f t="shared" si="24"/>
        <v>1</v>
      </c>
      <c r="R560" t="str">
        <f t="shared" si="25"/>
        <v>Unique ID</v>
      </c>
      <c r="V560" t="str">
        <f t="shared" si="26"/>
        <v>No</v>
      </c>
    </row>
    <row r="561" spans="1:22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>
        <f t="shared" si="24"/>
        <v>1</v>
      </c>
      <c r="R561" t="str">
        <f t="shared" si="25"/>
        <v>Unique ID</v>
      </c>
      <c r="V561" t="str">
        <f t="shared" si="26"/>
        <v>No</v>
      </c>
    </row>
    <row r="562" spans="1:22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>
        <f t="shared" si="24"/>
        <v>1</v>
      </c>
      <c r="R562" t="str">
        <f t="shared" si="25"/>
        <v>Unique ID</v>
      </c>
      <c r="V562" t="str">
        <f t="shared" si="26"/>
        <v>No</v>
      </c>
    </row>
    <row r="563" spans="1:22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>
        <f t="shared" si="24"/>
        <v>1</v>
      </c>
      <c r="R563" t="str">
        <f t="shared" si="25"/>
        <v>Unique ID</v>
      </c>
      <c r="V563" t="str">
        <f t="shared" si="26"/>
        <v>No</v>
      </c>
    </row>
    <row r="564" spans="1:22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>
        <f t="shared" si="24"/>
        <v>1</v>
      </c>
      <c r="R564" t="str">
        <f t="shared" si="25"/>
        <v>Unique ID</v>
      </c>
      <c r="V564" t="str">
        <f t="shared" si="26"/>
        <v>No</v>
      </c>
    </row>
    <row r="565" spans="1:22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>
        <f t="shared" si="24"/>
        <v>1</v>
      </c>
      <c r="R565" t="str">
        <f t="shared" si="25"/>
        <v>Unique ID</v>
      </c>
      <c r="V565" t="str">
        <f t="shared" si="26"/>
        <v>No</v>
      </c>
    </row>
    <row r="566" spans="1:22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>
        <f t="shared" si="24"/>
        <v>1</v>
      </c>
      <c r="R566" t="str">
        <f t="shared" si="25"/>
        <v>Unique ID</v>
      </c>
      <c r="V566" t="str">
        <f t="shared" si="26"/>
        <v>No</v>
      </c>
    </row>
    <row r="567" spans="1:22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>
        <f t="shared" si="24"/>
        <v>1</v>
      </c>
      <c r="R567" t="str">
        <f t="shared" si="25"/>
        <v>Unique ID</v>
      </c>
      <c r="V567" t="str">
        <f t="shared" si="26"/>
        <v>No</v>
      </c>
    </row>
    <row r="568" spans="1:22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>
        <f t="shared" si="24"/>
        <v>1</v>
      </c>
      <c r="R568" t="str">
        <f t="shared" si="25"/>
        <v>Unique ID</v>
      </c>
      <c r="V568" t="str">
        <f t="shared" si="26"/>
        <v>No</v>
      </c>
    </row>
    <row r="569" spans="1:22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>
        <f t="shared" si="24"/>
        <v>1</v>
      </c>
      <c r="R569" t="str">
        <f t="shared" si="25"/>
        <v>Unique ID</v>
      </c>
      <c r="V569" t="str">
        <f t="shared" si="26"/>
        <v>No</v>
      </c>
    </row>
    <row r="570" spans="1:22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>
        <f t="shared" si="24"/>
        <v>1</v>
      </c>
      <c r="R570" t="str">
        <f t="shared" si="25"/>
        <v>Unique ID</v>
      </c>
      <c r="V570" t="str">
        <f t="shared" si="26"/>
        <v>No</v>
      </c>
    </row>
    <row r="571" spans="1:22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>
        <f t="shared" si="24"/>
        <v>1</v>
      </c>
      <c r="R571" t="str">
        <f t="shared" si="25"/>
        <v>Unique ID</v>
      </c>
      <c r="V571" t="str">
        <f t="shared" si="26"/>
        <v>No</v>
      </c>
    </row>
    <row r="572" spans="1:22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>
        <f t="shared" si="24"/>
        <v>1</v>
      </c>
      <c r="R572" t="str">
        <f t="shared" si="25"/>
        <v>Unique ID</v>
      </c>
      <c r="V572" t="str">
        <f t="shared" si="26"/>
        <v>No</v>
      </c>
    </row>
    <row r="573" spans="1:22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>
        <f t="shared" si="24"/>
        <v>1</v>
      </c>
      <c r="R573" t="str">
        <f t="shared" si="25"/>
        <v>Unique ID</v>
      </c>
      <c r="V573" t="str">
        <f t="shared" si="26"/>
        <v>No</v>
      </c>
    </row>
    <row r="574" spans="1:22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>
        <f t="shared" si="24"/>
        <v>1</v>
      </c>
      <c r="R574" t="str">
        <f t="shared" si="25"/>
        <v>Unique ID</v>
      </c>
      <c r="V574" t="str">
        <f t="shared" si="26"/>
        <v>No</v>
      </c>
    </row>
    <row r="575" spans="1:22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>
        <f t="shared" si="24"/>
        <v>1</v>
      </c>
      <c r="R575" t="str">
        <f t="shared" si="25"/>
        <v>Unique ID</v>
      </c>
      <c r="V575" t="str">
        <f t="shared" si="26"/>
        <v>No</v>
      </c>
    </row>
    <row r="576" spans="1:22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>
        <f t="shared" si="24"/>
        <v>1</v>
      </c>
      <c r="R576" t="str">
        <f t="shared" si="25"/>
        <v>Unique ID</v>
      </c>
      <c r="V576" t="str">
        <f t="shared" si="26"/>
        <v>No</v>
      </c>
    </row>
    <row r="577" spans="1:22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>
        <f t="shared" si="24"/>
        <v>1</v>
      </c>
      <c r="R577" t="str">
        <f t="shared" si="25"/>
        <v>Unique ID</v>
      </c>
      <c r="V577" t="str">
        <f t="shared" si="26"/>
        <v>No</v>
      </c>
    </row>
    <row r="578" spans="1:22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>
        <f t="shared" si="24"/>
        <v>1</v>
      </c>
      <c r="R578" t="str">
        <f t="shared" si="25"/>
        <v>Unique ID</v>
      </c>
      <c r="V578" t="str">
        <f t="shared" si="26"/>
        <v>No</v>
      </c>
    </row>
    <row r="579" spans="1:22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>
        <f t="shared" ref="Q579:Q642" si="27">COUNTIF($A:$A,A579)</f>
        <v>1</v>
      </c>
      <c r="R579" t="str">
        <f t="shared" ref="R579:R642" si="28">IF(Q579&gt;1,"Duplicate ID","Unique ID")</f>
        <v>Unique ID</v>
      </c>
      <c r="V579" t="str">
        <f t="shared" ref="V579:V642" si="29">IF(OR(L579&lt;$U$5,L579&gt;$U$6),"Yes","No")</f>
        <v>No</v>
      </c>
    </row>
    <row r="580" spans="1:22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>
        <f t="shared" si="27"/>
        <v>1</v>
      </c>
      <c r="R580" t="str">
        <f t="shared" si="28"/>
        <v>Unique ID</v>
      </c>
      <c r="V580" t="str">
        <f t="shared" si="29"/>
        <v>No</v>
      </c>
    </row>
    <row r="581" spans="1:22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>
        <f t="shared" si="27"/>
        <v>1</v>
      </c>
      <c r="R581" t="str">
        <f t="shared" si="28"/>
        <v>Unique ID</v>
      </c>
      <c r="V581" t="str">
        <f t="shared" si="29"/>
        <v>No</v>
      </c>
    </row>
    <row r="582" spans="1:22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>
        <f t="shared" si="27"/>
        <v>1</v>
      </c>
      <c r="R582" t="str">
        <f t="shared" si="28"/>
        <v>Unique ID</v>
      </c>
      <c r="V582" t="str">
        <f t="shared" si="29"/>
        <v>No</v>
      </c>
    </row>
    <row r="583" spans="1:22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>
        <f t="shared" si="27"/>
        <v>1</v>
      </c>
      <c r="R583" t="str">
        <f t="shared" si="28"/>
        <v>Unique ID</v>
      </c>
      <c r="V583" t="str">
        <f t="shared" si="29"/>
        <v>No</v>
      </c>
    </row>
    <row r="584" spans="1:22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>
        <f t="shared" si="27"/>
        <v>1</v>
      </c>
      <c r="R584" t="str">
        <f t="shared" si="28"/>
        <v>Unique ID</v>
      </c>
      <c r="V584" t="str">
        <f t="shared" si="29"/>
        <v>No</v>
      </c>
    </row>
    <row r="585" spans="1:22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>
        <f t="shared" si="27"/>
        <v>1</v>
      </c>
      <c r="R585" t="str">
        <f t="shared" si="28"/>
        <v>Unique ID</v>
      </c>
      <c r="V585" t="str">
        <f t="shared" si="29"/>
        <v>No</v>
      </c>
    </row>
    <row r="586" spans="1:22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>
        <f t="shared" si="27"/>
        <v>1</v>
      </c>
      <c r="R586" t="str">
        <f t="shared" si="28"/>
        <v>Unique ID</v>
      </c>
      <c r="V586" t="str">
        <f t="shared" si="29"/>
        <v>No</v>
      </c>
    </row>
    <row r="587" spans="1:22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>
        <f t="shared" si="27"/>
        <v>1</v>
      </c>
      <c r="R587" t="str">
        <f t="shared" si="28"/>
        <v>Unique ID</v>
      </c>
      <c r="V587" t="str">
        <f t="shared" si="29"/>
        <v>No</v>
      </c>
    </row>
    <row r="588" spans="1:22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>
        <f t="shared" si="27"/>
        <v>1</v>
      </c>
      <c r="R588" t="str">
        <f t="shared" si="28"/>
        <v>Unique ID</v>
      </c>
      <c r="V588" t="str">
        <f t="shared" si="29"/>
        <v>No</v>
      </c>
    </row>
    <row r="589" spans="1:22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>
        <f t="shared" si="27"/>
        <v>1</v>
      </c>
      <c r="R589" t="str">
        <f t="shared" si="28"/>
        <v>Unique ID</v>
      </c>
      <c r="V589" t="str">
        <f t="shared" si="29"/>
        <v>No</v>
      </c>
    </row>
    <row r="590" spans="1:22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>
        <f t="shared" si="27"/>
        <v>1</v>
      </c>
      <c r="R590" t="str">
        <f t="shared" si="28"/>
        <v>Unique ID</v>
      </c>
      <c r="V590" t="str">
        <f t="shared" si="29"/>
        <v>No</v>
      </c>
    </row>
    <row r="591" spans="1:22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>
        <f t="shared" si="27"/>
        <v>1</v>
      </c>
      <c r="R591" t="str">
        <f t="shared" si="28"/>
        <v>Unique ID</v>
      </c>
      <c r="V591" t="str">
        <f t="shared" si="29"/>
        <v>No</v>
      </c>
    </row>
    <row r="592" spans="1:22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>
        <f t="shared" si="27"/>
        <v>1</v>
      </c>
      <c r="R592" t="str">
        <f t="shared" si="28"/>
        <v>Unique ID</v>
      </c>
      <c r="V592" t="str">
        <f t="shared" si="29"/>
        <v>No</v>
      </c>
    </row>
    <row r="593" spans="1:22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>
        <f t="shared" si="27"/>
        <v>1</v>
      </c>
      <c r="R593" t="str">
        <f t="shared" si="28"/>
        <v>Unique ID</v>
      </c>
      <c r="V593" t="str">
        <f t="shared" si="29"/>
        <v>No</v>
      </c>
    </row>
    <row r="594" spans="1:22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>
        <f t="shared" si="27"/>
        <v>1</v>
      </c>
      <c r="R594" t="str">
        <f t="shared" si="28"/>
        <v>Unique ID</v>
      </c>
      <c r="V594" t="str">
        <f t="shared" si="29"/>
        <v>No</v>
      </c>
    </row>
    <row r="595" spans="1:22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>
        <f t="shared" si="27"/>
        <v>1</v>
      </c>
      <c r="R595" t="str">
        <f t="shared" si="28"/>
        <v>Unique ID</v>
      </c>
      <c r="V595" t="str">
        <f t="shared" si="29"/>
        <v>Yes</v>
      </c>
    </row>
    <row r="596" spans="1:22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>
        <f t="shared" si="27"/>
        <v>1</v>
      </c>
      <c r="R596" t="str">
        <f t="shared" si="28"/>
        <v>Unique ID</v>
      </c>
      <c r="V596" t="str">
        <f t="shared" si="29"/>
        <v>No</v>
      </c>
    </row>
    <row r="597" spans="1:22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>
        <f t="shared" si="27"/>
        <v>1</v>
      </c>
      <c r="R597" t="str">
        <f t="shared" si="28"/>
        <v>Unique ID</v>
      </c>
      <c r="V597" t="str">
        <f t="shared" si="29"/>
        <v>No</v>
      </c>
    </row>
    <row r="598" spans="1:22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>
        <f t="shared" si="27"/>
        <v>1</v>
      </c>
      <c r="R598" t="str">
        <f t="shared" si="28"/>
        <v>Unique ID</v>
      </c>
      <c r="V598" t="str">
        <f t="shared" si="29"/>
        <v>No</v>
      </c>
    </row>
    <row r="599" spans="1:22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>
        <f t="shared" si="27"/>
        <v>1</v>
      </c>
      <c r="R599" t="str">
        <f t="shared" si="28"/>
        <v>Unique ID</v>
      </c>
      <c r="V599" t="str">
        <f t="shared" si="29"/>
        <v>No</v>
      </c>
    </row>
    <row r="600" spans="1:22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>
        <f t="shared" si="27"/>
        <v>1</v>
      </c>
      <c r="R600" t="str">
        <f t="shared" si="28"/>
        <v>Unique ID</v>
      </c>
      <c r="V600" t="str">
        <f t="shared" si="29"/>
        <v>No</v>
      </c>
    </row>
    <row r="601" spans="1:22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>
        <f t="shared" si="27"/>
        <v>1</v>
      </c>
      <c r="R601" t="str">
        <f t="shared" si="28"/>
        <v>Unique ID</v>
      </c>
      <c r="V601" t="str">
        <f t="shared" si="29"/>
        <v>No</v>
      </c>
    </row>
    <row r="602" spans="1:22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>
        <f t="shared" si="27"/>
        <v>1</v>
      </c>
      <c r="R602" t="str">
        <f t="shared" si="28"/>
        <v>Unique ID</v>
      </c>
      <c r="V602" t="str">
        <f t="shared" si="29"/>
        <v>No</v>
      </c>
    </row>
    <row r="603" spans="1:22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>
        <f t="shared" si="27"/>
        <v>1</v>
      </c>
      <c r="R603" t="str">
        <f t="shared" si="28"/>
        <v>Unique ID</v>
      </c>
      <c r="V603" t="str">
        <f t="shared" si="29"/>
        <v>No</v>
      </c>
    </row>
    <row r="604" spans="1:22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>
        <f t="shared" si="27"/>
        <v>1</v>
      </c>
      <c r="R604" t="str">
        <f t="shared" si="28"/>
        <v>Unique ID</v>
      </c>
      <c r="V604" t="str">
        <f t="shared" si="29"/>
        <v>No</v>
      </c>
    </row>
    <row r="605" spans="1:22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>
        <f t="shared" si="27"/>
        <v>1</v>
      </c>
      <c r="R605" t="str">
        <f t="shared" si="28"/>
        <v>Unique ID</v>
      </c>
      <c r="V605" t="str">
        <f t="shared" si="29"/>
        <v>No</v>
      </c>
    </row>
    <row r="606" spans="1:22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>
        <f t="shared" si="27"/>
        <v>1</v>
      </c>
      <c r="R606" t="str">
        <f t="shared" si="28"/>
        <v>Unique ID</v>
      </c>
      <c r="V606" t="str">
        <f t="shared" si="29"/>
        <v>No</v>
      </c>
    </row>
    <row r="607" spans="1:22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>
        <f t="shared" si="27"/>
        <v>1</v>
      </c>
      <c r="R607" t="str">
        <f t="shared" si="28"/>
        <v>Unique ID</v>
      </c>
      <c r="V607" t="str">
        <f t="shared" si="29"/>
        <v>No</v>
      </c>
    </row>
    <row r="608" spans="1:22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>
        <f t="shared" si="27"/>
        <v>1</v>
      </c>
      <c r="R608" t="str">
        <f t="shared" si="28"/>
        <v>Unique ID</v>
      </c>
      <c r="V608" t="str">
        <f t="shared" si="29"/>
        <v>No</v>
      </c>
    </row>
    <row r="609" spans="1:22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>
        <f t="shared" si="27"/>
        <v>1</v>
      </c>
      <c r="R609" t="str">
        <f t="shared" si="28"/>
        <v>Unique ID</v>
      </c>
      <c r="V609" t="str">
        <f t="shared" si="29"/>
        <v>No</v>
      </c>
    </row>
    <row r="610" spans="1:22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>
        <f t="shared" si="27"/>
        <v>1</v>
      </c>
      <c r="R610" t="str">
        <f t="shared" si="28"/>
        <v>Unique ID</v>
      </c>
      <c r="V610" t="str">
        <f t="shared" si="29"/>
        <v>No</v>
      </c>
    </row>
    <row r="611" spans="1:22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>
        <f t="shared" si="27"/>
        <v>1</v>
      </c>
      <c r="R611" t="str">
        <f t="shared" si="28"/>
        <v>Unique ID</v>
      </c>
      <c r="V611" t="str">
        <f t="shared" si="29"/>
        <v>No</v>
      </c>
    </row>
    <row r="612" spans="1:22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>
        <f t="shared" si="27"/>
        <v>1</v>
      </c>
      <c r="R612" t="str">
        <f t="shared" si="28"/>
        <v>Unique ID</v>
      </c>
      <c r="V612" t="str">
        <f t="shared" si="29"/>
        <v>No</v>
      </c>
    </row>
    <row r="613" spans="1:22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>
        <f t="shared" si="27"/>
        <v>1</v>
      </c>
      <c r="R613" t="str">
        <f t="shared" si="28"/>
        <v>Unique ID</v>
      </c>
      <c r="V613" t="str">
        <f t="shared" si="29"/>
        <v>No</v>
      </c>
    </row>
    <row r="614" spans="1:22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>
        <f t="shared" si="27"/>
        <v>1</v>
      </c>
      <c r="R614" t="str">
        <f t="shared" si="28"/>
        <v>Unique ID</v>
      </c>
      <c r="V614" t="str">
        <f t="shared" si="29"/>
        <v>No</v>
      </c>
    </row>
    <row r="615" spans="1:22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>
        <f t="shared" si="27"/>
        <v>1</v>
      </c>
      <c r="R615" t="str">
        <f t="shared" si="28"/>
        <v>Unique ID</v>
      </c>
      <c r="V615" t="str">
        <f t="shared" si="29"/>
        <v>No</v>
      </c>
    </row>
    <row r="616" spans="1:22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>
        <f t="shared" si="27"/>
        <v>1</v>
      </c>
      <c r="R616" t="str">
        <f t="shared" si="28"/>
        <v>Unique ID</v>
      </c>
      <c r="V616" t="str">
        <f t="shared" si="29"/>
        <v>No</v>
      </c>
    </row>
    <row r="617" spans="1:22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>
        <f t="shared" si="27"/>
        <v>1</v>
      </c>
      <c r="R617" t="str">
        <f t="shared" si="28"/>
        <v>Unique ID</v>
      </c>
      <c r="V617" t="str">
        <f t="shared" si="29"/>
        <v>No</v>
      </c>
    </row>
    <row r="618" spans="1:22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>
        <f t="shared" si="27"/>
        <v>1</v>
      </c>
      <c r="R618" t="str">
        <f t="shared" si="28"/>
        <v>Unique ID</v>
      </c>
      <c r="V618" t="str">
        <f t="shared" si="29"/>
        <v>No</v>
      </c>
    </row>
    <row r="619" spans="1:22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>
        <f t="shared" si="27"/>
        <v>1</v>
      </c>
      <c r="R619" t="str">
        <f t="shared" si="28"/>
        <v>Unique ID</v>
      </c>
      <c r="V619" t="str">
        <f t="shared" si="29"/>
        <v>No</v>
      </c>
    </row>
    <row r="620" spans="1:22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>
        <f t="shared" si="27"/>
        <v>1</v>
      </c>
      <c r="R620" t="str">
        <f t="shared" si="28"/>
        <v>Unique ID</v>
      </c>
      <c r="V620" t="str">
        <f t="shared" si="29"/>
        <v>No</v>
      </c>
    </row>
    <row r="621" spans="1:22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>
        <f t="shared" si="27"/>
        <v>1</v>
      </c>
      <c r="R621" t="str">
        <f t="shared" si="28"/>
        <v>Unique ID</v>
      </c>
      <c r="V621" t="str">
        <f t="shared" si="29"/>
        <v>No</v>
      </c>
    </row>
    <row r="622" spans="1:22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>
        <f t="shared" si="27"/>
        <v>1</v>
      </c>
      <c r="R622" t="str">
        <f t="shared" si="28"/>
        <v>Unique ID</v>
      </c>
      <c r="V622" t="str">
        <f t="shared" si="29"/>
        <v>No</v>
      </c>
    </row>
    <row r="623" spans="1:22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>
        <f t="shared" si="27"/>
        <v>1</v>
      </c>
      <c r="R623" t="str">
        <f t="shared" si="28"/>
        <v>Unique ID</v>
      </c>
      <c r="V623" t="str">
        <f t="shared" si="29"/>
        <v>No</v>
      </c>
    </row>
    <row r="624" spans="1:22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>
        <f t="shared" si="27"/>
        <v>1</v>
      </c>
      <c r="R624" t="str">
        <f t="shared" si="28"/>
        <v>Unique ID</v>
      </c>
      <c r="V624" t="str">
        <f t="shared" si="29"/>
        <v>No</v>
      </c>
    </row>
    <row r="625" spans="1:22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>
        <f t="shared" si="27"/>
        <v>1</v>
      </c>
      <c r="R625" t="str">
        <f t="shared" si="28"/>
        <v>Unique ID</v>
      </c>
      <c r="V625" t="str">
        <f t="shared" si="29"/>
        <v>No</v>
      </c>
    </row>
    <row r="626" spans="1:22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>
        <f t="shared" si="27"/>
        <v>1</v>
      </c>
      <c r="R626" t="str">
        <f t="shared" si="28"/>
        <v>Unique ID</v>
      </c>
      <c r="V626" t="str">
        <f t="shared" si="29"/>
        <v>No</v>
      </c>
    </row>
    <row r="627" spans="1:22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>
        <f t="shared" si="27"/>
        <v>1</v>
      </c>
      <c r="R627" t="str">
        <f t="shared" si="28"/>
        <v>Unique ID</v>
      </c>
      <c r="V627" t="str">
        <f t="shared" si="29"/>
        <v>No</v>
      </c>
    </row>
    <row r="628" spans="1:22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>
        <f t="shared" si="27"/>
        <v>1</v>
      </c>
      <c r="R628" t="str">
        <f t="shared" si="28"/>
        <v>Unique ID</v>
      </c>
      <c r="V628" t="str">
        <f t="shared" si="29"/>
        <v>No</v>
      </c>
    </row>
    <row r="629" spans="1:22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>
        <f t="shared" si="27"/>
        <v>1</v>
      </c>
      <c r="R629" t="str">
        <f t="shared" si="28"/>
        <v>Unique ID</v>
      </c>
      <c r="V629" t="str">
        <f t="shared" si="29"/>
        <v>No</v>
      </c>
    </row>
    <row r="630" spans="1:22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>
        <f t="shared" si="27"/>
        <v>1</v>
      </c>
      <c r="R630" t="str">
        <f t="shared" si="28"/>
        <v>Unique ID</v>
      </c>
      <c r="V630" t="str">
        <f t="shared" si="29"/>
        <v>No</v>
      </c>
    </row>
    <row r="631" spans="1:22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>
        <f t="shared" si="27"/>
        <v>1</v>
      </c>
      <c r="R631" t="str">
        <f t="shared" si="28"/>
        <v>Unique ID</v>
      </c>
      <c r="V631" t="str">
        <f t="shared" si="29"/>
        <v>No</v>
      </c>
    </row>
    <row r="632" spans="1:22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>
        <f t="shared" si="27"/>
        <v>1</v>
      </c>
      <c r="R632" t="str">
        <f t="shared" si="28"/>
        <v>Unique ID</v>
      </c>
      <c r="V632" t="str">
        <f t="shared" si="29"/>
        <v>No</v>
      </c>
    </row>
    <row r="633" spans="1:22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>
        <f t="shared" si="27"/>
        <v>1</v>
      </c>
      <c r="R633" t="str">
        <f t="shared" si="28"/>
        <v>Unique ID</v>
      </c>
      <c r="V633" t="str">
        <f t="shared" si="29"/>
        <v>No</v>
      </c>
    </row>
    <row r="634" spans="1:22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>
        <f t="shared" si="27"/>
        <v>1</v>
      </c>
      <c r="R634" t="str">
        <f t="shared" si="28"/>
        <v>Unique ID</v>
      </c>
      <c r="V634" t="str">
        <f t="shared" si="29"/>
        <v>No</v>
      </c>
    </row>
    <row r="635" spans="1:22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>
        <f t="shared" si="27"/>
        <v>1</v>
      </c>
      <c r="R635" t="str">
        <f t="shared" si="28"/>
        <v>Unique ID</v>
      </c>
      <c r="V635" t="str">
        <f t="shared" si="29"/>
        <v>No</v>
      </c>
    </row>
    <row r="636" spans="1:22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>
        <f t="shared" si="27"/>
        <v>1</v>
      </c>
      <c r="R636" t="str">
        <f t="shared" si="28"/>
        <v>Unique ID</v>
      </c>
      <c r="V636" t="str">
        <f t="shared" si="29"/>
        <v>No</v>
      </c>
    </row>
    <row r="637" spans="1:22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>
        <f t="shared" si="27"/>
        <v>1</v>
      </c>
      <c r="R637" t="str">
        <f t="shared" si="28"/>
        <v>Unique ID</v>
      </c>
      <c r="V637" t="str">
        <f t="shared" si="29"/>
        <v>No</v>
      </c>
    </row>
    <row r="638" spans="1:22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>
        <f t="shared" si="27"/>
        <v>1</v>
      </c>
      <c r="R638" t="str">
        <f t="shared" si="28"/>
        <v>Unique ID</v>
      </c>
      <c r="V638" t="str">
        <f t="shared" si="29"/>
        <v>No</v>
      </c>
    </row>
    <row r="639" spans="1:22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>
        <f t="shared" si="27"/>
        <v>1</v>
      </c>
      <c r="R639" t="str">
        <f t="shared" si="28"/>
        <v>Unique ID</v>
      </c>
      <c r="V639" t="str">
        <f t="shared" si="29"/>
        <v>No</v>
      </c>
    </row>
    <row r="640" spans="1:22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>
        <f t="shared" si="27"/>
        <v>1</v>
      </c>
      <c r="R640" t="str">
        <f t="shared" si="28"/>
        <v>Unique ID</v>
      </c>
      <c r="V640" t="str">
        <f t="shared" si="29"/>
        <v>No</v>
      </c>
    </row>
    <row r="641" spans="1:22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>
        <f t="shared" si="27"/>
        <v>1</v>
      </c>
      <c r="R641" t="str">
        <f t="shared" si="28"/>
        <v>Unique ID</v>
      </c>
      <c r="V641" t="str">
        <f t="shared" si="29"/>
        <v>No</v>
      </c>
    </row>
    <row r="642" spans="1:22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>
        <f t="shared" si="27"/>
        <v>1</v>
      </c>
      <c r="R642" t="str">
        <f t="shared" si="28"/>
        <v>Unique ID</v>
      </c>
      <c r="V642" t="str">
        <f t="shared" si="29"/>
        <v>No</v>
      </c>
    </row>
    <row r="643" spans="1:22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>
        <f t="shared" ref="Q643:Q706" si="30">COUNTIF($A:$A,A643)</f>
        <v>1</v>
      </c>
      <c r="R643" t="str">
        <f t="shared" ref="R643:R706" si="31">IF(Q643&gt;1,"Duplicate ID","Unique ID")</f>
        <v>Unique ID</v>
      </c>
      <c r="V643" t="str">
        <f t="shared" ref="V643:V706" si="32">IF(OR(L643&lt;$U$5,L643&gt;$U$6),"Yes","No")</f>
        <v>No</v>
      </c>
    </row>
    <row r="644" spans="1:22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>
        <f t="shared" si="30"/>
        <v>1</v>
      </c>
      <c r="R644" t="str">
        <f t="shared" si="31"/>
        <v>Unique ID</v>
      </c>
      <c r="V644" t="str">
        <f t="shared" si="32"/>
        <v>No</v>
      </c>
    </row>
    <row r="645" spans="1:22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>
        <f t="shared" si="30"/>
        <v>1</v>
      </c>
      <c r="R645" t="str">
        <f t="shared" si="31"/>
        <v>Unique ID</v>
      </c>
      <c r="V645" t="str">
        <f t="shared" si="32"/>
        <v>No</v>
      </c>
    </row>
    <row r="646" spans="1:22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>
        <f t="shared" si="30"/>
        <v>1</v>
      </c>
      <c r="R646" t="str">
        <f t="shared" si="31"/>
        <v>Unique ID</v>
      </c>
      <c r="V646" t="str">
        <f t="shared" si="32"/>
        <v>No</v>
      </c>
    </row>
    <row r="647" spans="1:22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>
        <f t="shared" si="30"/>
        <v>1</v>
      </c>
      <c r="R647" t="str">
        <f t="shared" si="31"/>
        <v>Unique ID</v>
      </c>
      <c r="V647" t="str">
        <f t="shared" si="32"/>
        <v>No</v>
      </c>
    </row>
    <row r="648" spans="1:22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>
        <f t="shared" si="30"/>
        <v>1</v>
      </c>
      <c r="R648" t="str">
        <f t="shared" si="31"/>
        <v>Unique ID</v>
      </c>
      <c r="V648" t="str">
        <f t="shared" si="32"/>
        <v>No</v>
      </c>
    </row>
    <row r="649" spans="1:22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>
        <f t="shared" si="30"/>
        <v>1</v>
      </c>
      <c r="R649" t="str">
        <f t="shared" si="31"/>
        <v>Unique ID</v>
      </c>
      <c r="V649" t="str">
        <f t="shared" si="32"/>
        <v>No</v>
      </c>
    </row>
    <row r="650" spans="1:22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>
        <f t="shared" si="30"/>
        <v>1</v>
      </c>
      <c r="R650" t="str">
        <f t="shared" si="31"/>
        <v>Unique ID</v>
      </c>
      <c r="V650" t="str">
        <f t="shared" si="32"/>
        <v>No</v>
      </c>
    </row>
    <row r="651" spans="1:22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>
        <f t="shared" si="30"/>
        <v>1</v>
      </c>
      <c r="R651" t="str">
        <f t="shared" si="31"/>
        <v>Unique ID</v>
      </c>
      <c r="V651" t="str">
        <f t="shared" si="32"/>
        <v>No</v>
      </c>
    </row>
    <row r="652" spans="1:22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>
        <f t="shared" si="30"/>
        <v>1</v>
      </c>
      <c r="R652" t="str">
        <f t="shared" si="31"/>
        <v>Unique ID</v>
      </c>
      <c r="V652" t="str">
        <f t="shared" si="32"/>
        <v>No</v>
      </c>
    </row>
    <row r="653" spans="1:22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>
        <f t="shared" si="30"/>
        <v>1</v>
      </c>
      <c r="R653" t="str">
        <f t="shared" si="31"/>
        <v>Unique ID</v>
      </c>
      <c r="V653" t="str">
        <f t="shared" si="32"/>
        <v>No</v>
      </c>
    </row>
    <row r="654" spans="1:22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>
        <f t="shared" si="30"/>
        <v>1</v>
      </c>
      <c r="R654" t="str">
        <f t="shared" si="31"/>
        <v>Unique ID</v>
      </c>
      <c r="V654" t="str">
        <f t="shared" si="32"/>
        <v>No</v>
      </c>
    </row>
    <row r="655" spans="1:22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>
        <f t="shared" si="30"/>
        <v>1</v>
      </c>
      <c r="R655" t="str">
        <f t="shared" si="31"/>
        <v>Unique ID</v>
      </c>
      <c r="V655" t="str">
        <f t="shared" si="32"/>
        <v>No</v>
      </c>
    </row>
    <row r="656" spans="1:22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>
        <f t="shared" si="30"/>
        <v>1</v>
      </c>
      <c r="R656" t="str">
        <f t="shared" si="31"/>
        <v>Unique ID</v>
      </c>
      <c r="V656" t="str">
        <f t="shared" si="32"/>
        <v>No</v>
      </c>
    </row>
    <row r="657" spans="1:22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>
        <f t="shared" si="30"/>
        <v>1</v>
      </c>
      <c r="R657" t="str">
        <f t="shared" si="31"/>
        <v>Unique ID</v>
      </c>
      <c r="V657" t="str">
        <f t="shared" si="32"/>
        <v>No</v>
      </c>
    </row>
    <row r="658" spans="1:22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>
        <f t="shared" si="30"/>
        <v>1</v>
      </c>
      <c r="R658" t="str">
        <f t="shared" si="31"/>
        <v>Unique ID</v>
      </c>
      <c r="V658" t="str">
        <f t="shared" si="32"/>
        <v>No</v>
      </c>
    </row>
    <row r="659" spans="1:22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>
        <f t="shared" si="30"/>
        <v>1</v>
      </c>
      <c r="R659" t="str">
        <f t="shared" si="31"/>
        <v>Unique ID</v>
      </c>
      <c r="V659" t="str">
        <f t="shared" si="32"/>
        <v>No</v>
      </c>
    </row>
    <row r="660" spans="1:22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>
        <f t="shared" si="30"/>
        <v>1</v>
      </c>
      <c r="R660" t="str">
        <f t="shared" si="31"/>
        <v>Unique ID</v>
      </c>
      <c r="V660" t="str">
        <f t="shared" si="32"/>
        <v>No</v>
      </c>
    </row>
    <row r="661" spans="1:22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>
        <f t="shared" si="30"/>
        <v>1</v>
      </c>
      <c r="R661" t="str">
        <f t="shared" si="31"/>
        <v>Unique ID</v>
      </c>
      <c r="V661" t="str">
        <f t="shared" si="32"/>
        <v>Yes</v>
      </c>
    </row>
    <row r="662" spans="1:22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>
        <f t="shared" si="30"/>
        <v>1</v>
      </c>
      <c r="R662" t="str">
        <f t="shared" si="31"/>
        <v>Unique ID</v>
      </c>
      <c r="V662" t="str">
        <f t="shared" si="32"/>
        <v>No</v>
      </c>
    </row>
    <row r="663" spans="1:22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>
        <f t="shared" si="30"/>
        <v>1</v>
      </c>
      <c r="R663" t="str">
        <f t="shared" si="31"/>
        <v>Unique ID</v>
      </c>
      <c r="V663" t="str">
        <f t="shared" si="32"/>
        <v>No</v>
      </c>
    </row>
    <row r="664" spans="1:22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>
        <f t="shared" si="30"/>
        <v>1</v>
      </c>
      <c r="R664" t="str">
        <f t="shared" si="31"/>
        <v>Unique ID</v>
      </c>
      <c r="V664" t="str">
        <f t="shared" si="32"/>
        <v>No</v>
      </c>
    </row>
    <row r="665" spans="1:22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>
        <f t="shared" si="30"/>
        <v>1</v>
      </c>
      <c r="R665" t="str">
        <f t="shared" si="31"/>
        <v>Unique ID</v>
      </c>
      <c r="V665" t="str">
        <f t="shared" si="32"/>
        <v>No</v>
      </c>
    </row>
    <row r="666" spans="1:22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>
        <f t="shared" si="30"/>
        <v>1</v>
      </c>
      <c r="R666" t="str">
        <f t="shared" si="31"/>
        <v>Unique ID</v>
      </c>
      <c r="V666" t="str">
        <f t="shared" si="32"/>
        <v>No</v>
      </c>
    </row>
    <row r="667" spans="1:22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>
        <f t="shared" si="30"/>
        <v>1</v>
      </c>
      <c r="R667" t="str">
        <f t="shared" si="31"/>
        <v>Unique ID</v>
      </c>
      <c r="V667" t="str">
        <f t="shared" si="32"/>
        <v>No</v>
      </c>
    </row>
    <row r="668" spans="1:22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>
        <f t="shared" si="30"/>
        <v>1</v>
      </c>
      <c r="R668" t="str">
        <f t="shared" si="31"/>
        <v>Unique ID</v>
      </c>
      <c r="V668" t="str">
        <f t="shared" si="32"/>
        <v>No</v>
      </c>
    </row>
    <row r="669" spans="1:22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>
        <f t="shared" si="30"/>
        <v>1</v>
      </c>
      <c r="R669" t="str">
        <f t="shared" si="31"/>
        <v>Unique ID</v>
      </c>
      <c r="V669" t="str">
        <f t="shared" si="32"/>
        <v>No</v>
      </c>
    </row>
    <row r="670" spans="1:22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>
        <f t="shared" si="30"/>
        <v>1</v>
      </c>
      <c r="R670" t="str">
        <f t="shared" si="31"/>
        <v>Unique ID</v>
      </c>
      <c r="V670" t="str">
        <f t="shared" si="32"/>
        <v>No</v>
      </c>
    </row>
    <row r="671" spans="1:22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>
        <f t="shared" si="30"/>
        <v>1</v>
      </c>
      <c r="R671" t="str">
        <f t="shared" si="31"/>
        <v>Unique ID</v>
      </c>
      <c r="V671" t="str">
        <f t="shared" si="32"/>
        <v>No</v>
      </c>
    </row>
    <row r="672" spans="1:22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>
        <f t="shared" si="30"/>
        <v>1</v>
      </c>
      <c r="R672" t="str">
        <f t="shared" si="31"/>
        <v>Unique ID</v>
      </c>
      <c r="V672" t="str">
        <f t="shared" si="32"/>
        <v>No</v>
      </c>
    </row>
    <row r="673" spans="1:22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>
        <f t="shared" si="30"/>
        <v>1</v>
      </c>
      <c r="R673" t="str">
        <f t="shared" si="31"/>
        <v>Unique ID</v>
      </c>
      <c r="V673" t="str">
        <f t="shared" si="32"/>
        <v>No</v>
      </c>
    </row>
    <row r="674" spans="1:22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>
        <f t="shared" si="30"/>
        <v>1</v>
      </c>
      <c r="R674" t="str">
        <f t="shared" si="31"/>
        <v>Unique ID</v>
      </c>
      <c r="V674" t="str">
        <f t="shared" si="32"/>
        <v>No</v>
      </c>
    </row>
    <row r="675" spans="1:22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>
        <f t="shared" si="30"/>
        <v>1</v>
      </c>
      <c r="R675" t="str">
        <f t="shared" si="31"/>
        <v>Unique ID</v>
      </c>
      <c r="V675" t="str">
        <f t="shared" si="32"/>
        <v>No</v>
      </c>
    </row>
    <row r="676" spans="1:22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>
        <f t="shared" si="30"/>
        <v>1</v>
      </c>
      <c r="R676" t="str">
        <f t="shared" si="31"/>
        <v>Unique ID</v>
      </c>
      <c r="V676" t="str">
        <f t="shared" si="32"/>
        <v>No</v>
      </c>
    </row>
    <row r="677" spans="1:22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>
        <f t="shared" si="30"/>
        <v>1</v>
      </c>
      <c r="R677" t="str">
        <f t="shared" si="31"/>
        <v>Unique ID</v>
      </c>
      <c r="V677" t="str">
        <f t="shared" si="32"/>
        <v>No</v>
      </c>
    </row>
    <row r="678" spans="1:22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>
        <f t="shared" si="30"/>
        <v>1</v>
      </c>
      <c r="R678" t="str">
        <f t="shared" si="31"/>
        <v>Unique ID</v>
      </c>
      <c r="V678" t="str">
        <f t="shared" si="32"/>
        <v>No</v>
      </c>
    </row>
    <row r="679" spans="1:22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>
        <f t="shared" si="30"/>
        <v>1</v>
      </c>
      <c r="R679" t="str">
        <f t="shared" si="31"/>
        <v>Unique ID</v>
      </c>
      <c r="V679" t="str">
        <f t="shared" si="32"/>
        <v>No</v>
      </c>
    </row>
    <row r="680" spans="1:22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>
        <f t="shared" si="30"/>
        <v>1</v>
      </c>
      <c r="R680" t="str">
        <f t="shared" si="31"/>
        <v>Unique ID</v>
      </c>
      <c r="V680" t="str">
        <f t="shared" si="32"/>
        <v>No</v>
      </c>
    </row>
    <row r="681" spans="1:22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>
        <f t="shared" si="30"/>
        <v>1</v>
      </c>
      <c r="R681" t="str">
        <f t="shared" si="31"/>
        <v>Unique ID</v>
      </c>
      <c r="V681" t="str">
        <f t="shared" si="32"/>
        <v>No</v>
      </c>
    </row>
    <row r="682" spans="1:22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>
        <f t="shared" si="30"/>
        <v>1</v>
      </c>
      <c r="R682" t="str">
        <f t="shared" si="31"/>
        <v>Unique ID</v>
      </c>
      <c r="V682" t="str">
        <f t="shared" si="32"/>
        <v>No</v>
      </c>
    </row>
    <row r="683" spans="1:22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>
        <f t="shared" si="30"/>
        <v>1</v>
      </c>
      <c r="R683" t="str">
        <f t="shared" si="31"/>
        <v>Unique ID</v>
      </c>
      <c r="V683" t="str">
        <f t="shared" si="32"/>
        <v>No</v>
      </c>
    </row>
    <row r="684" spans="1:22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>
        <f t="shared" si="30"/>
        <v>1</v>
      </c>
      <c r="R684" t="str">
        <f t="shared" si="31"/>
        <v>Unique ID</v>
      </c>
      <c r="V684" t="str">
        <f t="shared" si="32"/>
        <v>No</v>
      </c>
    </row>
    <row r="685" spans="1:22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>
        <f t="shared" si="30"/>
        <v>1</v>
      </c>
      <c r="R685" t="str">
        <f t="shared" si="31"/>
        <v>Unique ID</v>
      </c>
      <c r="V685" t="str">
        <f t="shared" si="32"/>
        <v>No</v>
      </c>
    </row>
    <row r="686" spans="1:22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>
        <f t="shared" si="30"/>
        <v>1</v>
      </c>
      <c r="R686" t="str">
        <f t="shared" si="31"/>
        <v>Unique ID</v>
      </c>
      <c r="V686" t="str">
        <f t="shared" si="32"/>
        <v>No</v>
      </c>
    </row>
    <row r="687" spans="1:22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>
        <f t="shared" si="30"/>
        <v>1</v>
      </c>
      <c r="R687" t="str">
        <f t="shared" si="31"/>
        <v>Unique ID</v>
      </c>
      <c r="V687" t="str">
        <f t="shared" si="32"/>
        <v>No</v>
      </c>
    </row>
    <row r="688" spans="1:22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>
        <f t="shared" si="30"/>
        <v>1</v>
      </c>
      <c r="R688" t="str">
        <f t="shared" si="31"/>
        <v>Unique ID</v>
      </c>
      <c r="V688" t="str">
        <f t="shared" si="32"/>
        <v>No</v>
      </c>
    </row>
    <row r="689" spans="1:22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>
        <f t="shared" si="30"/>
        <v>1</v>
      </c>
      <c r="R689" t="str">
        <f t="shared" si="31"/>
        <v>Unique ID</v>
      </c>
      <c r="V689" t="str">
        <f t="shared" si="32"/>
        <v>No</v>
      </c>
    </row>
    <row r="690" spans="1:22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>
        <f t="shared" si="30"/>
        <v>1</v>
      </c>
      <c r="R690" t="str">
        <f t="shared" si="31"/>
        <v>Unique ID</v>
      </c>
      <c r="V690" t="str">
        <f t="shared" si="32"/>
        <v>No</v>
      </c>
    </row>
    <row r="691" spans="1:22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>
        <f t="shared" si="30"/>
        <v>1</v>
      </c>
      <c r="R691" t="str">
        <f t="shared" si="31"/>
        <v>Unique ID</v>
      </c>
      <c r="V691" t="str">
        <f t="shared" si="32"/>
        <v>No</v>
      </c>
    </row>
    <row r="692" spans="1:22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>
        <f t="shared" si="30"/>
        <v>1</v>
      </c>
      <c r="R692" t="str">
        <f t="shared" si="31"/>
        <v>Unique ID</v>
      </c>
      <c r="V692" t="str">
        <f t="shared" si="32"/>
        <v>No</v>
      </c>
    </row>
    <row r="693" spans="1:22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>
        <f t="shared" si="30"/>
        <v>1</v>
      </c>
      <c r="R693" t="str">
        <f t="shared" si="31"/>
        <v>Unique ID</v>
      </c>
      <c r="V693" t="str">
        <f t="shared" si="32"/>
        <v>No</v>
      </c>
    </row>
    <row r="694" spans="1:22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>
        <f t="shared" si="30"/>
        <v>1</v>
      </c>
      <c r="R694" t="str">
        <f t="shared" si="31"/>
        <v>Unique ID</v>
      </c>
      <c r="V694" t="str">
        <f t="shared" si="32"/>
        <v>No</v>
      </c>
    </row>
    <row r="695" spans="1:22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>
        <f t="shared" si="30"/>
        <v>1</v>
      </c>
      <c r="R695" t="str">
        <f t="shared" si="31"/>
        <v>Unique ID</v>
      </c>
      <c r="V695" t="str">
        <f t="shared" si="32"/>
        <v>No</v>
      </c>
    </row>
    <row r="696" spans="1:22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>
        <f t="shared" si="30"/>
        <v>1</v>
      </c>
      <c r="R696" t="str">
        <f t="shared" si="31"/>
        <v>Unique ID</v>
      </c>
      <c r="V696" t="str">
        <f t="shared" si="32"/>
        <v>No</v>
      </c>
    </row>
    <row r="697" spans="1:22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>
        <f t="shared" si="30"/>
        <v>1</v>
      </c>
      <c r="R697" t="str">
        <f t="shared" si="31"/>
        <v>Unique ID</v>
      </c>
      <c r="V697" t="str">
        <f t="shared" si="32"/>
        <v>No</v>
      </c>
    </row>
    <row r="698" spans="1:22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>
        <f t="shared" si="30"/>
        <v>1</v>
      </c>
      <c r="R698" t="str">
        <f t="shared" si="31"/>
        <v>Unique ID</v>
      </c>
      <c r="V698" t="str">
        <f t="shared" si="32"/>
        <v>No</v>
      </c>
    </row>
    <row r="699" spans="1:22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>
        <f t="shared" si="30"/>
        <v>1</v>
      </c>
      <c r="R699" t="str">
        <f t="shared" si="31"/>
        <v>Unique ID</v>
      </c>
      <c r="V699" t="str">
        <f t="shared" si="32"/>
        <v>No</v>
      </c>
    </row>
    <row r="700" spans="1:22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>
        <f t="shared" si="30"/>
        <v>1</v>
      </c>
      <c r="R700" t="str">
        <f t="shared" si="31"/>
        <v>Unique ID</v>
      </c>
      <c r="V700" t="str">
        <f t="shared" si="32"/>
        <v>No</v>
      </c>
    </row>
    <row r="701" spans="1:22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>
        <f t="shared" si="30"/>
        <v>1</v>
      </c>
      <c r="R701" t="str">
        <f t="shared" si="31"/>
        <v>Unique ID</v>
      </c>
      <c r="V701" t="str">
        <f t="shared" si="32"/>
        <v>No</v>
      </c>
    </row>
    <row r="702" spans="1:22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>
        <f t="shared" si="30"/>
        <v>1</v>
      </c>
      <c r="R702" t="str">
        <f t="shared" si="31"/>
        <v>Unique ID</v>
      </c>
      <c r="V702" t="str">
        <f t="shared" si="32"/>
        <v>Yes</v>
      </c>
    </row>
    <row r="703" spans="1:22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>
        <f t="shared" si="30"/>
        <v>1</v>
      </c>
      <c r="R703" t="str">
        <f t="shared" si="31"/>
        <v>Unique ID</v>
      </c>
      <c r="V703" t="str">
        <f t="shared" si="32"/>
        <v>No</v>
      </c>
    </row>
    <row r="704" spans="1:22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>
        <f t="shared" si="30"/>
        <v>1</v>
      </c>
      <c r="R704" t="str">
        <f t="shared" si="31"/>
        <v>Unique ID</v>
      </c>
      <c r="V704" t="str">
        <f t="shared" si="32"/>
        <v>No</v>
      </c>
    </row>
    <row r="705" spans="1:22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>
        <f t="shared" si="30"/>
        <v>1</v>
      </c>
      <c r="R705" t="str">
        <f t="shared" si="31"/>
        <v>Unique ID</v>
      </c>
      <c r="V705" t="str">
        <f t="shared" si="32"/>
        <v>No</v>
      </c>
    </row>
    <row r="706" spans="1:22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>
        <f t="shared" si="30"/>
        <v>1</v>
      </c>
      <c r="R706" t="str">
        <f t="shared" si="31"/>
        <v>Unique ID</v>
      </c>
      <c r="V706" t="str">
        <f t="shared" si="32"/>
        <v>No</v>
      </c>
    </row>
    <row r="707" spans="1:22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>
        <f t="shared" ref="Q707:Q770" si="33">COUNTIF($A:$A,A707)</f>
        <v>1</v>
      </c>
      <c r="R707" t="str">
        <f t="shared" ref="R707:R770" si="34">IF(Q707&gt;1,"Duplicate ID","Unique ID")</f>
        <v>Unique ID</v>
      </c>
      <c r="V707" t="str">
        <f t="shared" ref="V707:V770" si="35">IF(OR(L707&lt;$U$5,L707&gt;$U$6),"Yes","No")</f>
        <v>No</v>
      </c>
    </row>
    <row r="708" spans="1:22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>
        <f t="shared" si="33"/>
        <v>1</v>
      </c>
      <c r="R708" t="str">
        <f t="shared" si="34"/>
        <v>Unique ID</v>
      </c>
      <c r="V708" t="str">
        <f t="shared" si="35"/>
        <v>No</v>
      </c>
    </row>
    <row r="709" spans="1:22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>
        <f t="shared" si="33"/>
        <v>1</v>
      </c>
      <c r="R709" t="str">
        <f t="shared" si="34"/>
        <v>Unique ID</v>
      </c>
      <c r="V709" t="str">
        <f t="shared" si="35"/>
        <v>No</v>
      </c>
    </row>
    <row r="710" spans="1:22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>
        <f t="shared" si="33"/>
        <v>1</v>
      </c>
      <c r="R710" t="str">
        <f t="shared" si="34"/>
        <v>Unique ID</v>
      </c>
      <c r="V710" t="str">
        <f t="shared" si="35"/>
        <v>No</v>
      </c>
    </row>
    <row r="711" spans="1:22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>
        <f t="shared" si="33"/>
        <v>1</v>
      </c>
      <c r="R711" t="str">
        <f t="shared" si="34"/>
        <v>Unique ID</v>
      </c>
      <c r="V711" t="str">
        <f t="shared" si="35"/>
        <v>No</v>
      </c>
    </row>
    <row r="712" spans="1:22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>
        <f t="shared" si="33"/>
        <v>1</v>
      </c>
      <c r="R712" t="str">
        <f t="shared" si="34"/>
        <v>Unique ID</v>
      </c>
      <c r="V712" t="str">
        <f t="shared" si="35"/>
        <v>No</v>
      </c>
    </row>
    <row r="713" spans="1:22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>
        <f t="shared" si="33"/>
        <v>1</v>
      </c>
      <c r="R713" t="str">
        <f t="shared" si="34"/>
        <v>Unique ID</v>
      </c>
      <c r="V713" t="str">
        <f t="shared" si="35"/>
        <v>No</v>
      </c>
    </row>
    <row r="714" spans="1:22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>
        <f t="shared" si="33"/>
        <v>1</v>
      </c>
      <c r="R714" t="str">
        <f t="shared" si="34"/>
        <v>Unique ID</v>
      </c>
      <c r="V714" t="str">
        <f t="shared" si="35"/>
        <v>Yes</v>
      </c>
    </row>
    <row r="715" spans="1:22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>
        <f t="shared" si="33"/>
        <v>1</v>
      </c>
      <c r="R715" t="str">
        <f t="shared" si="34"/>
        <v>Unique ID</v>
      </c>
      <c r="V715" t="str">
        <f t="shared" si="35"/>
        <v>Yes</v>
      </c>
    </row>
    <row r="716" spans="1:22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>
        <f t="shared" si="33"/>
        <v>1</v>
      </c>
      <c r="R716" t="str">
        <f t="shared" si="34"/>
        <v>Unique ID</v>
      </c>
      <c r="V716" t="str">
        <f t="shared" si="35"/>
        <v>No</v>
      </c>
    </row>
    <row r="717" spans="1:22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>
        <f t="shared" si="33"/>
        <v>1</v>
      </c>
      <c r="R717" t="str">
        <f t="shared" si="34"/>
        <v>Unique ID</v>
      </c>
      <c r="V717" t="str">
        <f t="shared" si="35"/>
        <v>No</v>
      </c>
    </row>
    <row r="718" spans="1:22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>
        <f t="shared" si="33"/>
        <v>1</v>
      </c>
      <c r="R718" t="str">
        <f t="shared" si="34"/>
        <v>Unique ID</v>
      </c>
      <c r="V718" t="str">
        <f t="shared" si="35"/>
        <v>No</v>
      </c>
    </row>
    <row r="719" spans="1:22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>
        <f t="shared" si="33"/>
        <v>1</v>
      </c>
      <c r="R719" t="str">
        <f t="shared" si="34"/>
        <v>Unique ID</v>
      </c>
      <c r="V719" t="str">
        <f t="shared" si="35"/>
        <v>No</v>
      </c>
    </row>
    <row r="720" spans="1:22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>
        <f t="shared" si="33"/>
        <v>1</v>
      </c>
      <c r="R720" t="str">
        <f t="shared" si="34"/>
        <v>Unique ID</v>
      </c>
      <c r="V720" t="str">
        <f t="shared" si="35"/>
        <v>No</v>
      </c>
    </row>
    <row r="721" spans="1:22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>
        <f t="shared" si="33"/>
        <v>1</v>
      </c>
      <c r="R721" t="str">
        <f t="shared" si="34"/>
        <v>Unique ID</v>
      </c>
      <c r="V721" t="str">
        <f t="shared" si="35"/>
        <v>No</v>
      </c>
    </row>
    <row r="722" spans="1:22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>
        <f t="shared" si="33"/>
        <v>1</v>
      </c>
      <c r="R722" t="str">
        <f t="shared" si="34"/>
        <v>Unique ID</v>
      </c>
      <c r="V722" t="str">
        <f t="shared" si="35"/>
        <v>No</v>
      </c>
    </row>
    <row r="723" spans="1:22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>
        <f t="shared" si="33"/>
        <v>1</v>
      </c>
      <c r="R723" t="str">
        <f t="shared" si="34"/>
        <v>Unique ID</v>
      </c>
      <c r="V723" t="str">
        <f t="shared" si="35"/>
        <v>No</v>
      </c>
    </row>
    <row r="724" spans="1:22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>
        <f t="shared" si="33"/>
        <v>1</v>
      </c>
      <c r="R724" t="str">
        <f t="shared" si="34"/>
        <v>Unique ID</v>
      </c>
      <c r="V724" t="str">
        <f t="shared" si="35"/>
        <v>No</v>
      </c>
    </row>
    <row r="725" spans="1:22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>
        <f t="shared" si="33"/>
        <v>1</v>
      </c>
      <c r="R725" t="str">
        <f t="shared" si="34"/>
        <v>Unique ID</v>
      </c>
      <c r="V725" t="str">
        <f t="shared" si="35"/>
        <v>No</v>
      </c>
    </row>
    <row r="726" spans="1:22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>
        <f t="shared" si="33"/>
        <v>1</v>
      </c>
      <c r="R726" t="str">
        <f t="shared" si="34"/>
        <v>Unique ID</v>
      </c>
      <c r="V726" t="str">
        <f t="shared" si="35"/>
        <v>No</v>
      </c>
    </row>
    <row r="727" spans="1:22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>
        <f t="shared" si="33"/>
        <v>1</v>
      </c>
      <c r="R727" t="str">
        <f t="shared" si="34"/>
        <v>Unique ID</v>
      </c>
      <c r="V727" t="str">
        <f t="shared" si="35"/>
        <v>No</v>
      </c>
    </row>
    <row r="728" spans="1:22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>
        <f t="shared" si="33"/>
        <v>1</v>
      </c>
      <c r="R728" t="str">
        <f t="shared" si="34"/>
        <v>Unique ID</v>
      </c>
      <c r="V728" t="str">
        <f t="shared" si="35"/>
        <v>No</v>
      </c>
    </row>
    <row r="729" spans="1:22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>
        <f t="shared" si="33"/>
        <v>1</v>
      </c>
      <c r="R729" t="str">
        <f t="shared" si="34"/>
        <v>Unique ID</v>
      </c>
      <c r="V729" t="str">
        <f t="shared" si="35"/>
        <v>Yes</v>
      </c>
    </row>
    <row r="730" spans="1:22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>
        <f t="shared" si="33"/>
        <v>1</v>
      </c>
      <c r="R730" t="str">
        <f t="shared" si="34"/>
        <v>Unique ID</v>
      </c>
      <c r="V730" t="str">
        <f t="shared" si="35"/>
        <v>No</v>
      </c>
    </row>
    <row r="731" spans="1:22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>
        <f t="shared" si="33"/>
        <v>1</v>
      </c>
      <c r="R731" t="str">
        <f t="shared" si="34"/>
        <v>Unique ID</v>
      </c>
      <c r="V731" t="str">
        <f t="shared" si="35"/>
        <v>No</v>
      </c>
    </row>
    <row r="732" spans="1:22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>
        <f t="shared" si="33"/>
        <v>1</v>
      </c>
      <c r="R732" t="str">
        <f t="shared" si="34"/>
        <v>Unique ID</v>
      </c>
      <c r="V732" t="str">
        <f t="shared" si="35"/>
        <v>No</v>
      </c>
    </row>
    <row r="733" spans="1:22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>
        <f t="shared" si="33"/>
        <v>1</v>
      </c>
      <c r="R733" t="str">
        <f t="shared" si="34"/>
        <v>Unique ID</v>
      </c>
      <c r="V733" t="str">
        <f t="shared" si="35"/>
        <v>Yes</v>
      </c>
    </row>
    <row r="734" spans="1:22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>
        <f t="shared" si="33"/>
        <v>1</v>
      </c>
      <c r="R734" t="str">
        <f t="shared" si="34"/>
        <v>Unique ID</v>
      </c>
      <c r="V734" t="str">
        <f t="shared" si="35"/>
        <v>No</v>
      </c>
    </row>
    <row r="735" spans="1:22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>
        <f t="shared" si="33"/>
        <v>1</v>
      </c>
      <c r="R735" t="str">
        <f t="shared" si="34"/>
        <v>Unique ID</v>
      </c>
      <c r="V735" t="str">
        <f t="shared" si="35"/>
        <v>No</v>
      </c>
    </row>
    <row r="736" spans="1:22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>
        <f t="shared" si="33"/>
        <v>1</v>
      </c>
      <c r="R736" t="str">
        <f t="shared" si="34"/>
        <v>Unique ID</v>
      </c>
      <c r="V736" t="str">
        <f t="shared" si="35"/>
        <v>No</v>
      </c>
    </row>
    <row r="737" spans="1:22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>
        <f t="shared" si="33"/>
        <v>1</v>
      </c>
      <c r="R737" t="str">
        <f t="shared" si="34"/>
        <v>Unique ID</v>
      </c>
      <c r="V737" t="str">
        <f t="shared" si="35"/>
        <v>No</v>
      </c>
    </row>
    <row r="738" spans="1:22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>
        <f t="shared" si="33"/>
        <v>1</v>
      </c>
      <c r="R738" t="str">
        <f t="shared" si="34"/>
        <v>Unique ID</v>
      </c>
      <c r="V738" t="str">
        <f t="shared" si="35"/>
        <v>No</v>
      </c>
    </row>
    <row r="739" spans="1:22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>
        <f t="shared" si="33"/>
        <v>1</v>
      </c>
      <c r="R739" t="str">
        <f t="shared" si="34"/>
        <v>Unique ID</v>
      </c>
      <c r="V739" t="str">
        <f t="shared" si="35"/>
        <v>No</v>
      </c>
    </row>
    <row r="740" spans="1:22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>
        <f t="shared" si="33"/>
        <v>1</v>
      </c>
      <c r="R740" t="str">
        <f t="shared" si="34"/>
        <v>Unique ID</v>
      </c>
      <c r="V740" t="str">
        <f t="shared" si="35"/>
        <v>No</v>
      </c>
    </row>
    <row r="741" spans="1:22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>
        <f t="shared" si="33"/>
        <v>1</v>
      </c>
      <c r="R741" t="str">
        <f t="shared" si="34"/>
        <v>Unique ID</v>
      </c>
      <c r="V741" t="str">
        <f t="shared" si="35"/>
        <v>No</v>
      </c>
    </row>
    <row r="742" spans="1:22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>
        <f t="shared" si="33"/>
        <v>1</v>
      </c>
      <c r="R742" t="str">
        <f t="shared" si="34"/>
        <v>Unique ID</v>
      </c>
      <c r="V742" t="str">
        <f t="shared" si="35"/>
        <v>No</v>
      </c>
    </row>
    <row r="743" spans="1:22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>
        <f t="shared" si="33"/>
        <v>1</v>
      </c>
      <c r="R743" t="str">
        <f t="shared" si="34"/>
        <v>Unique ID</v>
      </c>
      <c r="V743" t="str">
        <f t="shared" si="35"/>
        <v>No</v>
      </c>
    </row>
    <row r="744" spans="1:22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>
        <f t="shared" si="33"/>
        <v>1</v>
      </c>
      <c r="R744" t="str">
        <f t="shared" si="34"/>
        <v>Unique ID</v>
      </c>
      <c r="V744" t="str">
        <f t="shared" si="35"/>
        <v>No</v>
      </c>
    </row>
    <row r="745" spans="1:22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>
        <f t="shared" si="33"/>
        <v>1</v>
      </c>
      <c r="R745" t="str">
        <f t="shared" si="34"/>
        <v>Unique ID</v>
      </c>
      <c r="V745" t="str">
        <f t="shared" si="35"/>
        <v>No</v>
      </c>
    </row>
    <row r="746" spans="1:22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>
        <f t="shared" si="33"/>
        <v>1</v>
      </c>
      <c r="R746" t="str">
        <f t="shared" si="34"/>
        <v>Unique ID</v>
      </c>
      <c r="V746" t="str">
        <f t="shared" si="35"/>
        <v>No</v>
      </c>
    </row>
    <row r="747" spans="1:22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>
        <f t="shared" si="33"/>
        <v>1</v>
      </c>
      <c r="R747" t="str">
        <f t="shared" si="34"/>
        <v>Unique ID</v>
      </c>
      <c r="V747" t="str">
        <f t="shared" si="35"/>
        <v>No</v>
      </c>
    </row>
    <row r="748" spans="1:22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>
        <f t="shared" si="33"/>
        <v>1</v>
      </c>
      <c r="R748" t="str">
        <f t="shared" si="34"/>
        <v>Unique ID</v>
      </c>
      <c r="V748" t="str">
        <f t="shared" si="35"/>
        <v>No</v>
      </c>
    </row>
    <row r="749" spans="1:22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>
        <f t="shared" si="33"/>
        <v>1</v>
      </c>
      <c r="R749" t="str">
        <f t="shared" si="34"/>
        <v>Unique ID</v>
      </c>
      <c r="V749" t="str">
        <f t="shared" si="35"/>
        <v>No</v>
      </c>
    </row>
    <row r="750" spans="1:22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>
        <f t="shared" si="33"/>
        <v>1</v>
      </c>
      <c r="R750" t="str">
        <f t="shared" si="34"/>
        <v>Unique ID</v>
      </c>
      <c r="V750" t="str">
        <f t="shared" si="35"/>
        <v>No</v>
      </c>
    </row>
    <row r="751" spans="1:22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>
        <f t="shared" si="33"/>
        <v>1</v>
      </c>
      <c r="R751" t="str">
        <f t="shared" si="34"/>
        <v>Unique ID</v>
      </c>
      <c r="V751" t="str">
        <f t="shared" si="35"/>
        <v>No</v>
      </c>
    </row>
    <row r="752" spans="1:22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>
        <f t="shared" si="33"/>
        <v>1</v>
      </c>
      <c r="R752" t="str">
        <f t="shared" si="34"/>
        <v>Unique ID</v>
      </c>
      <c r="V752" t="str">
        <f t="shared" si="35"/>
        <v>No</v>
      </c>
    </row>
    <row r="753" spans="1:22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>
        <f t="shared" si="33"/>
        <v>1</v>
      </c>
      <c r="R753" t="str">
        <f t="shared" si="34"/>
        <v>Unique ID</v>
      </c>
      <c r="V753" t="str">
        <f t="shared" si="35"/>
        <v>No</v>
      </c>
    </row>
    <row r="754" spans="1:22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>
        <f t="shared" si="33"/>
        <v>1</v>
      </c>
      <c r="R754" t="str">
        <f t="shared" si="34"/>
        <v>Unique ID</v>
      </c>
      <c r="V754" t="str">
        <f t="shared" si="35"/>
        <v>No</v>
      </c>
    </row>
    <row r="755" spans="1:22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>
        <f t="shared" si="33"/>
        <v>1</v>
      </c>
      <c r="R755" t="str">
        <f t="shared" si="34"/>
        <v>Unique ID</v>
      </c>
      <c r="V755" t="str">
        <f t="shared" si="35"/>
        <v>No</v>
      </c>
    </row>
    <row r="756" spans="1:22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>
        <f t="shared" si="33"/>
        <v>1</v>
      </c>
      <c r="R756" t="str">
        <f t="shared" si="34"/>
        <v>Unique ID</v>
      </c>
      <c r="V756" t="str">
        <f t="shared" si="35"/>
        <v>No</v>
      </c>
    </row>
    <row r="757" spans="1:22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>
        <f t="shared" si="33"/>
        <v>1</v>
      </c>
      <c r="R757" t="str">
        <f t="shared" si="34"/>
        <v>Unique ID</v>
      </c>
      <c r="V757" t="str">
        <f t="shared" si="35"/>
        <v>No</v>
      </c>
    </row>
    <row r="758" spans="1:22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>
        <f t="shared" si="33"/>
        <v>1</v>
      </c>
      <c r="R758" t="str">
        <f t="shared" si="34"/>
        <v>Unique ID</v>
      </c>
      <c r="V758" t="str">
        <f t="shared" si="35"/>
        <v>No</v>
      </c>
    </row>
    <row r="759" spans="1:22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>
        <f t="shared" si="33"/>
        <v>1</v>
      </c>
      <c r="R759" t="str">
        <f t="shared" si="34"/>
        <v>Unique ID</v>
      </c>
      <c r="V759" t="str">
        <f t="shared" si="35"/>
        <v>Yes</v>
      </c>
    </row>
    <row r="760" spans="1:22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>
        <f t="shared" si="33"/>
        <v>1</v>
      </c>
      <c r="R760" t="str">
        <f t="shared" si="34"/>
        <v>Unique ID</v>
      </c>
      <c r="V760" t="str">
        <f t="shared" si="35"/>
        <v>No</v>
      </c>
    </row>
    <row r="761" spans="1:22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>
        <f t="shared" si="33"/>
        <v>1</v>
      </c>
      <c r="R761" t="str">
        <f t="shared" si="34"/>
        <v>Unique ID</v>
      </c>
      <c r="V761" t="str">
        <f t="shared" si="35"/>
        <v>No</v>
      </c>
    </row>
    <row r="762" spans="1:22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>
        <f t="shared" si="33"/>
        <v>1</v>
      </c>
      <c r="R762" t="str">
        <f t="shared" si="34"/>
        <v>Unique ID</v>
      </c>
      <c r="V762" t="str">
        <f t="shared" si="35"/>
        <v>No</v>
      </c>
    </row>
    <row r="763" spans="1:22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>
        <f t="shared" si="33"/>
        <v>1</v>
      </c>
      <c r="R763" t="str">
        <f t="shared" si="34"/>
        <v>Unique ID</v>
      </c>
      <c r="V763" t="str">
        <f t="shared" si="35"/>
        <v>No</v>
      </c>
    </row>
    <row r="764" spans="1:22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>
        <f t="shared" si="33"/>
        <v>1</v>
      </c>
      <c r="R764" t="str">
        <f t="shared" si="34"/>
        <v>Unique ID</v>
      </c>
      <c r="V764" t="str">
        <f t="shared" si="35"/>
        <v>No</v>
      </c>
    </row>
    <row r="765" spans="1:22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>
        <f t="shared" si="33"/>
        <v>1</v>
      </c>
      <c r="R765" t="str">
        <f t="shared" si="34"/>
        <v>Unique ID</v>
      </c>
      <c r="V765" t="str">
        <f t="shared" si="35"/>
        <v>No</v>
      </c>
    </row>
    <row r="766" spans="1:22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>
        <f t="shared" si="33"/>
        <v>1</v>
      </c>
      <c r="R766" t="str">
        <f t="shared" si="34"/>
        <v>Unique ID</v>
      </c>
      <c r="V766" t="str">
        <f t="shared" si="35"/>
        <v>No</v>
      </c>
    </row>
    <row r="767" spans="1:22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>
        <f t="shared" si="33"/>
        <v>1</v>
      </c>
      <c r="R767" t="str">
        <f t="shared" si="34"/>
        <v>Unique ID</v>
      </c>
      <c r="V767" t="str">
        <f t="shared" si="35"/>
        <v>No</v>
      </c>
    </row>
    <row r="768" spans="1:22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>
        <f t="shared" si="33"/>
        <v>1</v>
      </c>
      <c r="R768" t="str">
        <f t="shared" si="34"/>
        <v>Unique ID</v>
      </c>
      <c r="V768" t="str">
        <f t="shared" si="35"/>
        <v>No</v>
      </c>
    </row>
    <row r="769" spans="1:22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>
        <f t="shared" si="33"/>
        <v>1</v>
      </c>
      <c r="R769" t="str">
        <f t="shared" si="34"/>
        <v>Unique ID</v>
      </c>
      <c r="V769" t="str">
        <f t="shared" si="35"/>
        <v>No</v>
      </c>
    </row>
    <row r="770" spans="1:22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>
        <f t="shared" si="33"/>
        <v>1</v>
      </c>
      <c r="R770" t="str">
        <f t="shared" si="34"/>
        <v>Unique ID</v>
      </c>
      <c r="V770" t="str">
        <f t="shared" si="35"/>
        <v>No</v>
      </c>
    </row>
    <row r="771" spans="1:22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>
        <f t="shared" ref="Q771:Q834" si="36">COUNTIF($A:$A,A771)</f>
        <v>1</v>
      </c>
      <c r="R771" t="str">
        <f t="shared" ref="R771:R834" si="37">IF(Q771&gt;1,"Duplicate ID","Unique ID")</f>
        <v>Unique ID</v>
      </c>
      <c r="V771" t="str">
        <f t="shared" ref="V771:V834" si="38">IF(OR(L771&lt;$U$5,L771&gt;$U$6),"Yes","No")</f>
        <v>No</v>
      </c>
    </row>
    <row r="772" spans="1:22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>
        <f t="shared" si="36"/>
        <v>1</v>
      </c>
      <c r="R772" t="str">
        <f t="shared" si="37"/>
        <v>Unique ID</v>
      </c>
      <c r="V772" t="str">
        <f t="shared" si="38"/>
        <v>No</v>
      </c>
    </row>
    <row r="773" spans="1:22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>
        <f t="shared" si="36"/>
        <v>1</v>
      </c>
      <c r="R773" t="str">
        <f t="shared" si="37"/>
        <v>Unique ID</v>
      </c>
      <c r="V773" t="str">
        <f t="shared" si="38"/>
        <v>No</v>
      </c>
    </row>
    <row r="774" spans="1:22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>
        <f t="shared" si="36"/>
        <v>1</v>
      </c>
      <c r="R774" t="str">
        <f t="shared" si="37"/>
        <v>Unique ID</v>
      </c>
      <c r="V774" t="str">
        <f t="shared" si="38"/>
        <v>No</v>
      </c>
    </row>
    <row r="775" spans="1:22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>
        <f t="shared" si="36"/>
        <v>1</v>
      </c>
      <c r="R775" t="str">
        <f t="shared" si="37"/>
        <v>Unique ID</v>
      </c>
      <c r="V775" t="str">
        <f t="shared" si="38"/>
        <v>No</v>
      </c>
    </row>
    <row r="776" spans="1:22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>
        <f t="shared" si="36"/>
        <v>1</v>
      </c>
      <c r="R776" t="str">
        <f t="shared" si="37"/>
        <v>Unique ID</v>
      </c>
      <c r="V776" t="str">
        <f t="shared" si="38"/>
        <v>No</v>
      </c>
    </row>
    <row r="777" spans="1:22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>
        <f t="shared" si="36"/>
        <v>1</v>
      </c>
      <c r="R777" t="str">
        <f t="shared" si="37"/>
        <v>Unique ID</v>
      </c>
      <c r="V777" t="str">
        <f t="shared" si="38"/>
        <v>No</v>
      </c>
    </row>
    <row r="778" spans="1:22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>
        <f t="shared" si="36"/>
        <v>1</v>
      </c>
      <c r="R778" t="str">
        <f t="shared" si="37"/>
        <v>Unique ID</v>
      </c>
      <c r="V778" t="str">
        <f t="shared" si="38"/>
        <v>No</v>
      </c>
    </row>
    <row r="779" spans="1:22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>
        <f t="shared" si="36"/>
        <v>1</v>
      </c>
      <c r="R779" t="str">
        <f t="shared" si="37"/>
        <v>Unique ID</v>
      </c>
      <c r="V779" t="str">
        <f t="shared" si="38"/>
        <v>No</v>
      </c>
    </row>
    <row r="780" spans="1:22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>
        <f t="shared" si="36"/>
        <v>1</v>
      </c>
      <c r="R780" t="str">
        <f t="shared" si="37"/>
        <v>Unique ID</v>
      </c>
      <c r="V780" t="str">
        <f t="shared" si="38"/>
        <v>No</v>
      </c>
    </row>
    <row r="781" spans="1:22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>
        <f t="shared" si="36"/>
        <v>1</v>
      </c>
      <c r="R781" t="str">
        <f t="shared" si="37"/>
        <v>Unique ID</v>
      </c>
      <c r="V781" t="str">
        <f t="shared" si="38"/>
        <v>No</v>
      </c>
    </row>
    <row r="782" spans="1:22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>
        <f t="shared" si="36"/>
        <v>1</v>
      </c>
      <c r="R782" t="str">
        <f t="shared" si="37"/>
        <v>Unique ID</v>
      </c>
      <c r="V782" t="str">
        <f t="shared" si="38"/>
        <v>No</v>
      </c>
    </row>
    <row r="783" spans="1:22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>
        <f t="shared" si="36"/>
        <v>1</v>
      </c>
      <c r="R783" t="str">
        <f t="shared" si="37"/>
        <v>Unique ID</v>
      </c>
      <c r="V783" t="str">
        <f t="shared" si="38"/>
        <v>No</v>
      </c>
    </row>
    <row r="784" spans="1:22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>
        <f t="shared" si="36"/>
        <v>1</v>
      </c>
      <c r="R784" t="str">
        <f t="shared" si="37"/>
        <v>Unique ID</v>
      </c>
      <c r="V784" t="str">
        <f t="shared" si="38"/>
        <v>No</v>
      </c>
    </row>
    <row r="785" spans="1:22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>
        <f t="shared" si="36"/>
        <v>1</v>
      </c>
      <c r="R785" t="str">
        <f t="shared" si="37"/>
        <v>Unique ID</v>
      </c>
      <c r="V785" t="str">
        <f t="shared" si="38"/>
        <v>No</v>
      </c>
    </row>
    <row r="786" spans="1:22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>
        <f t="shared" si="36"/>
        <v>1</v>
      </c>
      <c r="R786" t="str">
        <f t="shared" si="37"/>
        <v>Unique ID</v>
      </c>
      <c r="V786" t="str">
        <f t="shared" si="38"/>
        <v>No</v>
      </c>
    </row>
    <row r="787" spans="1:22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>
        <f t="shared" si="36"/>
        <v>1</v>
      </c>
      <c r="R787" t="str">
        <f t="shared" si="37"/>
        <v>Unique ID</v>
      </c>
      <c r="V787" t="str">
        <f t="shared" si="38"/>
        <v>No</v>
      </c>
    </row>
    <row r="788" spans="1:22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>
        <f t="shared" si="36"/>
        <v>1</v>
      </c>
      <c r="R788" t="str">
        <f t="shared" si="37"/>
        <v>Unique ID</v>
      </c>
      <c r="V788" t="str">
        <f t="shared" si="38"/>
        <v>No</v>
      </c>
    </row>
    <row r="789" spans="1:22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>
        <f t="shared" si="36"/>
        <v>1</v>
      </c>
      <c r="R789" t="str">
        <f t="shared" si="37"/>
        <v>Unique ID</v>
      </c>
      <c r="V789" t="str">
        <f t="shared" si="38"/>
        <v>No</v>
      </c>
    </row>
    <row r="790" spans="1:22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>
        <f t="shared" si="36"/>
        <v>1</v>
      </c>
      <c r="R790" t="str">
        <f t="shared" si="37"/>
        <v>Unique ID</v>
      </c>
      <c r="V790" t="str">
        <f t="shared" si="38"/>
        <v>No</v>
      </c>
    </row>
    <row r="791" spans="1:22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>
        <f t="shared" si="36"/>
        <v>1</v>
      </c>
      <c r="R791" t="str">
        <f t="shared" si="37"/>
        <v>Unique ID</v>
      </c>
      <c r="V791" t="str">
        <f t="shared" si="38"/>
        <v>No</v>
      </c>
    </row>
    <row r="792" spans="1:22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>
        <f t="shared" si="36"/>
        <v>1</v>
      </c>
      <c r="R792" t="str">
        <f t="shared" si="37"/>
        <v>Unique ID</v>
      </c>
      <c r="V792" t="str">
        <f t="shared" si="38"/>
        <v>No</v>
      </c>
    </row>
    <row r="793" spans="1:22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>
        <f t="shared" si="36"/>
        <v>1</v>
      </c>
      <c r="R793" t="str">
        <f t="shared" si="37"/>
        <v>Unique ID</v>
      </c>
      <c r="V793" t="str">
        <f t="shared" si="38"/>
        <v>No</v>
      </c>
    </row>
    <row r="794" spans="1:22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>
        <f t="shared" si="36"/>
        <v>1</v>
      </c>
      <c r="R794" t="str">
        <f t="shared" si="37"/>
        <v>Unique ID</v>
      </c>
      <c r="V794" t="str">
        <f t="shared" si="38"/>
        <v>No</v>
      </c>
    </row>
    <row r="795" spans="1:22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>
        <f t="shared" si="36"/>
        <v>1</v>
      </c>
      <c r="R795" t="str">
        <f t="shared" si="37"/>
        <v>Unique ID</v>
      </c>
      <c r="V795" t="str">
        <f t="shared" si="38"/>
        <v>No</v>
      </c>
    </row>
    <row r="796" spans="1:22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>
        <f t="shared" si="36"/>
        <v>1</v>
      </c>
      <c r="R796" t="str">
        <f t="shared" si="37"/>
        <v>Unique ID</v>
      </c>
      <c r="V796" t="str">
        <f t="shared" si="38"/>
        <v>No</v>
      </c>
    </row>
    <row r="797" spans="1:22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>
        <f t="shared" si="36"/>
        <v>1</v>
      </c>
      <c r="R797" t="str">
        <f t="shared" si="37"/>
        <v>Unique ID</v>
      </c>
      <c r="V797" t="str">
        <f t="shared" si="38"/>
        <v>No</v>
      </c>
    </row>
    <row r="798" spans="1:22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>
        <f t="shared" si="36"/>
        <v>1</v>
      </c>
      <c r="R798" t="str">
        <f t="shared" si="37"/>
        <v>Unique ID</v>
      </c>
      <c r="V798" t="str">
        <f t="shared" si="38"/>
        <v>No</v>
      </c>
    </row>
    <row r="799" spans="1:22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>
        <f t="shared" si="36"/>
        <v>1</v>
      </c>
      <c r="R799" t="str">
        <f t="shared" si="37"/>
        <v>Unique ID</v>
      </c>
      <c r="V799" t="str">
        <f t="shared" si="38"/>
        <v>No</v>
      </c>
    </row>
    <row r="800" spans="1:22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>
        <f t="shared" si="36"/>
        <v>1</v>
      </c>
      <c r="R800" t="str">
        <f t="shared" si="37"/>
        <v>Unique ID</v>
      </c>
      <c r="V800" t="str">
        <f t="shared" si="38"/>
        <v>No</v>
      </c>
    </row>
    <row r="801" spans="1:22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>
        <f t="shared" si="36"/>
        <v>1</v>
      </c>
      <c r="R801" t="str">
        <f t="shared" si="37"/>
        <v>Unique ID</v>
      </c>
      <c r="V801" t="str">
        <f t="shared" si="38"/>
        <v>No</v>
      </c>
    </row>
    <row r="802" spans="1:22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>
        <f t="shared" si="36"/>
        <v>1</v>
      </c>
      <c r="R802" t="str">
        <f t="shared" si="37"/>
        <v>Unique ID</v>
      </c>
      <c r="V802" t="str">
        <f t="shared" si="38"/>
        <v>No</v>
      </c>
    </row>
    <row r="803" spans="1:22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>
        <f t="shared" si="36"/>
        <v>1</v>
      </c>
      <c r="R803" t="str">
        <f t="shared" si="37"/>
        <v>Unique ID</v>
      </c>
      <c r="V803" t="str">
        <f t="shared" si="38"/>
        <v>No</v>
      </c>
    </row>
    <row r="804" spans="1:22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>
        <f t="shared" si="36"/>
        <v>1</v>
      </c>
      <c r="R804" t="str">
        <f t="shared" si="37"/>
        <v>Unique ID</v>
      </c>
      <c r="V804" t="str">
        <f t="shared" si="38"/>
        <v>No</v>
      </c>
    </row>
    <row r="805" spans="1:22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>
        <f t="shared" si="36"/>
        <v>1</v>
      </c>
      <c r="R805" t="str">
        <f t="shared" si="37"/>
        <v>Unique ID</v>
      </c>
      <c r="V805" t="str">
        <f t="shared" si="38"/>
        <v>No</v>
      </c>
    </row>
    <row r="806" spans="1:22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>
        <f t="shared" si="36"/>
        <v>1</v>
      </c>
      <c r="R806" t="str">
        <f t="shared" si="37"/>
        <v>Unique ID</v>
      </c>
      <c r="V806" t="str">
        <f t="shared" si="38"/>
        <v>Yes</v>
      </c>
    </row>
    <row r="807" spans="1:22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>
        <f t="shared" si="36"/>
        <v>1</v>
      </c>
      <c r="R807" t="str">
        <f t="shared" si="37"/>
        <v>Unique ID</v>
      </c>
      <c r="V807" t="str">
        <f t="shared" si="38"/>
        <v>No</v>
      </c>
    </row>
    <row r="808" spans="1:22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>
        <f t="shared" si="36"/>
        <v>1</v>
      </c>
      <c r="R808" t="str">
        <f t="shared" si="37"/>
        <v>Unique ID</v>
      </c>
      <c r="V808" t="str">
        <f t="shared" si="38"/>
        <v>No</v>
      </c>
    </row>
    <row r="809" spans="1:22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>
        <f t="shared" si="36"/>
        <v>1</v>
      </c>
      <c r="R809" t="str">
        <f t="shared" si="37"/>
        <v>Unique ID</v>
      </c>
      <c r="V809" t="str">
        <f t="shared" si="38"/>
        <v>No</v>
      </c>
    </row>
    <row r="810" spans="1:22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>
        <f t="shared" si="36"/>
        <v>1</v>
      </c>
      <c r="R810" t="str">
        <f t="shared" si="37"/>
        <v>Unique ID</v>
      </c>
      <c r="V810" t="str">
        <f t="shared" si="38"/>
        <v>No</v>
      </c>
    </row>
    <row r="811" spans="1:22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>
        <f t="shared" si="36"/>
        <v>1</v>
      </c>
      <c r="R811" t="str">
        <f t="shared" si="37"/>
        <v>Unique ID</v>
      </c>
      <c r="V811" t="str">
        <f t="shared" si="38"/>
        <v>No</v>
      </c>
    </row>
    <row r="812" spans="1:22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>
        <f t="shared" si="36"/>
        <v>1</v>
      </c>
      <c r="R812" t="str">
        <f t="shared" si="37"/>
        <v>Unique ID</v>
      </c>
      <c r="V812" t="str">
        <f t="shared" si="38"/>
        <v>No</v>
      </c>
    </row>
    <row r="813" spans="1:22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>
        <f t="shared" si="36"/>
        <v>1</v>
      </c>
      <c r="R813" t="str">
        <f t="shared" si="37"/>
        <v>Unique ID</v>
      </c>
      <c r="V813" t="str">
        <f t="shared" si="38"/>
        <v>No</v>
      </c>
    </row>
    <row r="814" spans="1:22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>
        <f t="shared" si="36"/>
        <v>1</v>
      </c>
      <c r="R814" t="str">
        <f t="shared" si="37"/>
        <v>Unique ID</v>
      </c>
      <c r="V814" t="str">
        <f t="shared" si="38"/>
        <v>No</v>
      </c>
    </row>
    <row r="815" spans="1:22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>
        <f t="shared" si="36"/>
        <v>1</v>
      </c>
      <c r="R815" t="str">
        <f t="shared" si="37"/>
        <v>Unique ID</v>
      </c>
      <c r="V815" t="str">
        <f t="shared" si="38"/>
        <v>Yes</v>
      </c>
    </row>
    <row r="816" spans="1:22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>
        <f t="shared" si="36"/>
        <v>1</v>
      </c>
      <c r="R816" t="str">
        <f t="shared" si="37"/>
        <v>Unique ID</v>
      </c>
      <c r="V816" t="str">
        <f t="shared" si="38"/>
        <v>No</v>
      </c>
    </row>
    <row r="817" spans="1:22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>
        <f t="shared" si="36"/>
        <v>1</v>
      </c>
      <c r="R817" t="str">
        <f t="shared" si="37"/>
        <v>Unique ID</v>
      </c>
      <c r="V817" t="str">
        <f t="shared" si="38"/>
        <v>No</v>
      </c>
    </row>
    <row r="818" spans="1:22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>
        <f t="shared" si="36"/>
        <v>1</v>
      </c>
      <c r="R818" t="str">
        <f t="shared" si="37"/>
        <v>Unique ID</v>
      </c>
      <c r="V818" t="str">
        <f t="shared" si="38"/>
        <v>No</v>
      </c>
    </row>
    <row r="819" spans="1:22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>
        <f t="shared" si="36"/>
        <v>1</v>
      </c>
      <c r="R819" t="str">
        <f t="shared" si="37"/>
        <v>Unique ID</v>
      </c>
      <c r="V819" t="str">
        <f t="shared" si="38"/>
        <v>No</v>
      </c>
    </row>
    <row r="820" spans="1:22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>
        <f t="shared" si="36"/>
        <v>1</v>
      </c>
      <c r="R820" t="str">
        <f t="shared" si="37"/>
        <v>Unique ID</v>
      </c>
      <c r="V820" t="str">
        <f t="shared" si="38"/>
        <v>Yes</v>
      </c>
    </row>
    <row r="821" spans="1:22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>
        <f t="shared" si="36"/>
        <v>1</v>
      </c>
      <c r="R821" t="str">
        <f t="shared" si="37"/>
        <v>Unique ID</v>
      </c>
      <c r="V821" t="str">
        <f t="shared" si="38"/>
        <v>No</v>
      </c>
    </row>
    <row r="822" spans="1:22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>
        <f t="shared" si="36"/>
        <v>1</v>
      </c>
      <c r="R822" t="str">
        <f t="shared" si="37"/>
        <v>Unique ID</v>
      </c>
      <c r="V822" t="str">
        <f t="shared" si="38"/>
        <v>No</v>
      </c>
    </row>
    <row r="823" spans="1:22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>
        <f t="shared" si="36"/>
        <v>1</v>
      </c>
      <c r="R823" t="str">
        <f t="shared" si="37"/>
        <v>Unique ID</v>
      </c>
      <c r="V823" t="str">
        <f t="shared" si="38"/>
        <v>No</v>
      </c>
    </row>
    <row r="824" spans="1:22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>
        <f t="shared" si="36"/>
        <v>1</v>
      </c>
      <c r="R824" t="str">
        <f t="shared" si="37"/>
        <v>Unique ID</v>
      </c>
      <c r="V824" t="str">
        <f t="shared" si="38"/>
        <v>No</v>
      </c>
    </row>
    <row r="825" spans="1:22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>
        <f t="shared" si="36"/>
        <v>1</v>
      </c>
      <c r="R825" t="str">
        <f t="shared" si="37"/>
        <v>Unique ID</v>
      </c>
      <c r="V825" t="str">
        <f t="shared" si="38"/>
        <v>No</v>
      </c>
    </row>
    <row r="826" spans="1:22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>
        <f t="shared" si="36"/>
        <v>1</v>
      </c>
      <c r="R826" t="str">
        <f t="shared" si="37"/>
        <v>Unique ID</v>
      </c>
      <c r="V826" t="str">
        <f t="shared" si="38"/>
        <v>Yes</v>
      </c>
    </row>
    <row r="827" spans="1:22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>
        <f t="shared" si="36"/>
        <v>1</v>
      </c>
      <c r="R827" t="str">
        <f t="shared" si="37"/>
        <v>Unique ID</v>
      </c>
      <c r="V827" t="str">
        <f t="shared" si="38"/>
        <v>No</v>
      </c>
    </row>
    <row r="828" spans="1:22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>
        <f t="shared" si="36"/>
        <v>1</v>
      </c>
      <c r="R828" t="str">
        <f t="shared" si="37"/>
        <v>Unique ID</v>
      </c>
      <c r="V828" t="str">
        <f t="shared" si="38"/>
        <v>No</v>
      </c>
    </row>
    <row r="829" spans="1:22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>
        <f t="shared" si="36"/>
        <v>1</v>
      </c>
      <c r="R829" t="str">
        <f t="shared" si="37"/>
        <v>Unique ID</v>
      </c>
      <c r="V829" t="str">
        <f t="shared" si="38"/>
        <v>No</v>
      </c>
    </row>
    <row r="830" spans="1:22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>
        <f t="shared" si="36"/>
        <v>1</v>
      </c>
      <c r="R830" t="str">
        <f t="shared" si="37"/>
        <v>Unique ID</v>
      </c>
      <c r="V830" t="str">
        <f t="shared" si="38"/>
        <v>No</v>
      </c>
    </row>
    <row r="831" spans="1:22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>
        <f t="shared" si="36"/>
        <v>1</v>
      </c>
      <c r="R831" t="str">
        <f t="shared" si="37"/>
        <v>Unique ID</v>
      </c>
      <c r="V831" t="str">
        <f t="shared" si="38"/>
        <v>Yes</v>
      </c>
    </row>
    <row r="832" spans="1:22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>
        <f t="shared" si="36"/>
        <v>1</v>
      </c>
      <c r="R832" t="str">
        <f t="shared" si="37"/>
        <v>Unique ID</v>
      </c>
      <c r="V832" t="str">
        <f t="shared" si="38"/>
        <v>No</v>
      </c>
    </row>
    <row r="833" spans="1:22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>
        <f t="shared" si="36"/>
        <v>1</v>
      </c>
      <c r="R833" t="str">
        <f t="shared" si="37"/>
        <v>Unique ID</v>
      </c>
      <c r="V833" t="str">
        <f t="shared" si="38"/>
        <v>No</v>
      </c>
    </row>
    <row r="834" spans="1:22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>
        <f t="shared" si="36"/>
        <v>1</v>
      </c>
      <c r="R834" t="str">
        <f t="shared" si="37"/>
        <v>Unique ID</v>
      </c>
      <c r="V834" t="str">
        <f t="shared" si="38"/>
        <v>Yes</v>
      </c>
    </row>
    <row r="835" spans="1:22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>
        <f t="shared" ref="Q835:Q898" si="39">COUNTIF($A:$A,A835)</f>
        <v>1</v>
      </c>
      <c r="R835" t="str">
        <f t="shared" ref="R835:R898" si="40">IF(Q835&gt;1,"Duplicate ID","Unique ID")</f>
        <v>Unique ID</v>
      </c>
      <c r="V835" t="str">
        <f t="shared" ref="V835:V898" si="41">IF(OR(L835&lt;$U$5,L835&gt;$U$6),"Yes","No")</f>
        <v>No</v>
      </c>
    </row>
    <row r="836" spans="1:22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>
        <f t="shared" si="39"/>
        <v>1</v>
      </c>
      <c r="R836" t="str">
        <f t="shared" si="40"/>
        <v>Unique ID</v>
      </c>
      <c r="V836" t="str">
        <f t="shared" si="41"/>
        <v>No</v>
      </c>
    </row>
    <row r="837" spans="1:22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>
        <f t="shared" si="39"/>
        <v>1</v>
      </c>
      <c r="R837" t="str">
        <f t="shared" si="40"/>
        <v>Unique ID</v>
      </c>
      <c r="V837" t="str">
        <f t="shared" si="41"/>
        <v>Yes</v>
      </c>
    </row>
    <row r="838" spans="1:22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>
        <f t="shared" si="39"/>
        <v>1</v>
      </c>
      <c r="R838" t="str">
        <f t="shared" si="40"/>
        <v>Unique ID</v>
      </c>
      <c r="V838" t="str">
        <f t="shared" si="41"/>
        <v>Yes</v>
      </c>
    </row>
    <row r="839" spans="1:22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>
        <f t="shared" si="39"/>
        <v>1</v>
      </c>
      <c r="R839" t="str">
        <f t="shared" si="40"/>
        <v>Unique ID</v>
      </c>
      <c r="V839" t="str">
        <f t="shared" si="41"/>
        <v>No</v>
      </c>
    </row>
    <row r="840" spans="1:22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>
        <f t="shared" si="39"/>
        <v>1</v>
      </c>
      <c r="R840" t="str">
        <f t="shared" si="40"/>
        <v>Unique ID</v>
      </c>
      <c r="V840" t="str">
        <f t="shared" si="41"/>
        <v>No</v>
      </c>
    </row>
    <row r="841" spans="1:22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>
        <f t="shared" si="39"/>
        <v>1</v>
      </c>
      <c r="R841" t="str">
        <f t="shared" si="40"/>
        <v>Unique ID</v>
      </c>
      <c r="V841" t="str">
        <f t="shared" si="41"/>
        <v>No</v>
      </c>
    </row>
    <row r="842" spans="1:22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>
        <f t="shared" si="39"/>
        <v>1</v>
      </c>
      <c r="R842" t="str">
        <f t="shared" si="40"/>
        <v>Unique ID</v>
      </c>
      <c r="V842" t="str">
        <f t="shared" si="41"/>
        <v>No</v>
      </c>
    </row>
    <row r="843" spans="1:22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>
        <f t="shared" si="39"/>
        <v>1</v>
      </c>
      <c r="R843" t="str">
        <f t="shared" si="40"/>
        <v>Unique ID</v>
      </c>
      <c r="V843" t="str">
        <f t="shared" si="41"/>
        <v>No</v>
      </c>
    </row>
    <row r="844" spans="1:22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>
        <f t="shared" si="39"/>
        <v>1</v>
      </c>
      <c r="R844" t="str">
        <f t="shared" si="40"/>
        <v>Unique ID</v>
      </c>
      <c r="V844" t="str">
        <f t="shared" si="41"/>
        <v>No</v>
      </c>
    </row>
    <row r="845" spans="1:22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>
        <f t="shared" si="39"/>
        <v>1</v>
      </c>
      <c r="R845" t="str">
        <f t="shared" si="40"/>
        <v>Unique ID</v>
      </c>
      <c r="V845" t="str">
        <f t="shared" si="41"/>
        <v>No</v>
      </c>
    </row>
    <row r="846" spans="1:22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>
        <f t="shared" si="39"/>
        <v>1</v>
      </c>
      <c r="R846" t="str">
        <f t="shared" si="40"/>
        <v>Unique ID</v>
      </c>
      <c r="V846" t="str">
        <f t="shared" si="41"/>
        <v>No</v>
      </c>
    </row>
    <row r="847" spans="1:22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>
        <f t="shared" si="39"/>
        <v>1</v>
      </c>
      <c r="R847" t="str">
        <f t="shared" si="40"/>
        <v>Unique ID</v>
      </c>
      <c r="V847" t="str">
        <f t="shared" si="41"/>
        <v>No</v>
      </c>
    </row>
    <row r="848" spans="1:22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>
        <f t="shared" si="39"/>
        <v>1</v>
      </c>
      <c r="R848" t="str">
        <f t="shared" si="40"/>
        <v>Unique ID</v>
      </c>
      <c r="V848" t="str">
        <f t="shared" si="41"/>
        <v>No</v>
      </c>
    </row>
    <row r="849" spans="1:22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>
        <f t="shared" si="39"/>
        <v>1</v>
      </c>
      <c r="R849" t="str">
        <f t="shared" si="40"/>
        <v>Unique ID</v>
      </c>
      <c r="V849" t="str">
        <f t="shared" si="41"/>
        <v>No</v>
      </c>
    </row>
    <row r="850" spans="1:22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>
        <f t="shared" si="39"/>
        <v>1</v>
      </c>
      <c r="R850" t="str">
        <f t="shared" si="40"/>
        <v>Unique ID</v>
      </c>
      <c r="V850" t="str">
        <f t="shared" si="41"/>
        <v>No</v>
      </c>
    </row>
    <row r="851" spans="1:22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>
        <f t="shared" si="39"/>
        <v>1</v>
      </c>
      <c r="R851" t="str">
        <f t="shared" si="40"/>
        <v>Unique ID</v>
      </c>
      <c r="V851" t="str">
        <f t="shared" si="41"/>
        <v>No</v>
      </c>
    </row>
    <row r="852" spans="1:22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>
        <f t="shared" si="39"/>
        <v>1</v>
      </c>
      <c r="R852" t="str">
        <f t="shared" si="40"/>
        <v>Unique ID</v>
      </c>
      <c r="V852" t="str">
        <f t="shared" si="41"/>
        <v>No</v>
      </c>
    </row>
    <row r="853" spans="1:22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>
        <f t="shared" si="39"/>
        <v>1</v>
      </c>
      <c r="R853" t="str">
        <f t="shared" si="40"/>
        <v>Unique ID</v>
      </c>
      <c r="V853" t="str">
        <f t="shared" si="41"/>
        <v>No</v>
      </c>
    </row>
    <row r="854" spans="1:22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>
        <f t="shared" si="39"/>
        <v>1</v>
      </c>
      <c r="R854" t="str">
        <f t="shared" si="40"/>
        <v>Unique ID</v>
      </c>
      <c r="V854" t="str">
        <f t="shared" si="41"/>
        <v>No</v>
      </c>
    </row>
    <row r="855" spans="1:22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>
        <f t="shared" si="39"/>
        <v>1</v>
      </c>
      <c r="R855" t="str">
        <f t="shared" si="40"/>
        <v>Unique ID</v>
      </c>
      <c r="V855" t="str">
        <f t="shared" si="41"/>
        <v>No</v>
      </c>
    </row>
    <row r="856" spans="1:22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>
        <f t="shared" si="39"/>
        <v>1</v>
      </c>
      <c r="R856" t="str">
        <f t="shared" si="40"/>
        <v>Unique ID</v>
      </c>
      <c r="V856" t="str">
        <f t="shared" si="41"/>
        <v>Yes</v>
      </c>
    </row>
    <row r="857" spans="1:22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>
        <f t="shared" si="39"/>
        <v>1</v>
      </c>
      <c r="R857" t="str">
        <f t="shared" si="40"/>
        <v>Unique ID</v>
      </c>
      <c r="V857" t="str">
        <f t="shared" si="41"/>
        <v>No</v>
      </c>
    </row>
    <row r="858" spans="1:22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>
        <f t="shared" si="39"/>
        <v>1</v>
      </c>
      <c r="R858" t="str">
        <f t="shared" si="40"/>
        <v>Unique ID</v>
      </c>
      <c r="V858" t="str">
        <f t="shared" si="41"/>
        <v>No</v>
      </c>
    </row>
    <row r="859" spans="1:22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>
        <f t="shared" si="39"/>
        <v>1</v>
      </c>
      <c r="R859" t="str">
        <f t="shared" si="40"/>
        <v>Unique ID</v>
      </c>
      <c r="V859" t="str">
        <f t="shared" si="41"/>
        <v>No</v>
      </c>
    </row>
    <row r="860" spans="1:22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>
        <f t="shared" si="39"/>
        <v>1</v>
      </c>
      <c r="R860" t="str">
        <f t="shared" si="40"/>
        <v>Unique ID</v>
      </c>
      <c r="V860" t="str">
        <f t="shared" si="41"/>
        <v>Yes</v>
      </c>
    </row>
    <row r="861" spans="1:22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>
        <f t="shared" si="39"/>
        <v>1</v>
      </c>
      <c r="R861" t="str">
        <f t="shared" si="40"/>
        <v>Unique ID</v>
      </c>
      <c r="V861" t="str">
        <f t="shared" si="41"/>
        <v>No</v>
      </c>
    </row>
    <row r="862" spans="1:22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>
        <f t="shared" si="39"/>
        <v>1</v>
      </c>
      <c r="R862" t="str">
        <f t="shared" si="40"/>
        <v>Unique ID</v>
      </c>
      <c r="V862" t="str">
        <f t="shared" si="41"/>
        <v>No</v>
      </c>
    </row>
    <row r="863" spans="1:22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>
        <f t="shared" si="39"/>
        <v>1</v>
      </c>
      <c r="R863" t="str">
        <f t="shared" si="40"/>
        <v>Unique ID</v>
      </c>
      <c r="V863" t="str">
        <f t="shared" si="41"/>
        <v>No</v>
      </c>
    </row>
    <row r="864" spans="1:22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>
        <f t="shared" si="39"/>
        <v>1</v>
      </c>
      <c r="R864" t="str">
        <f t="shared" si="40"/>
        <v>Unique ID</v>
      </c>
      <c r="V864" t="str">
        <f t="shared" si="41"/>
        <v>No</v>
      </c>
    </row>
    <row r="865" spans="1:22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>
        <f t="shared" si="39"/>
        <v>1</v>
      </c>
      <c r="R865" t="str">
        <f t="shared" si="40"/>
        <v>Unique ID</v>
      </c>
      <c r="V865" t="str">
        <f t="shared" si="41"/>
        <v>No</v>
      </c>
    </row>
    <row r="866" spans="1:22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>
        <f t="shared" si="39"/>
        <v>1</v>
      </c>
      <c r="R866" t="str">
        <f t="shared" si="40"/>
        <v>Unique ID</v>
      </c>
      <c r="V866" t="str">
        <f t="shared" si="41"/>
        <v>No</v>
      </c>
    </row>
    <row r="867" spans="1:22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>
        <f t="shared" si="39"/>
        <v>1</v>
      </c>
      <c r="R867" t="str">
        <f t="shared" si="40"/>
        <v>Unique ID</v>
      </c>
      <c r="V867" t="str">
        <f t="shared" si="41"/>
        <v>No</v>
      </c>
    </row>
    <row r="868" spans="1:22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>
        <f t="shared" si="39"/>
        <v>1</v>
      </c>
      <c r="R868" t="str">
        <f t="shared" si="40"/>
        <v>Unique ID</v>
      </c>
      <c r="V868" t="str">
        <f t="shared" si="41"/>
        <v>No</v>
      </c>
    </row>
    <row r="869" spans="1:22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>
        <f t="shared" si="39"/>
        <v>1</v>
      </c>
      <c r="R869" t="str">
        <f t="shared" si="40"/>
        <v>Unique ID</v>
      </c>
      <c r="V869" t="str">
        <f t="shared" si="41"/>
        <v>No</v>
      </c>
    </row>
    <row r="870" spans="1:22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>
        <f t="shared" si="39"/>
        <v>1</v>
      </c>
      <c r="R870" t="str">
        <f t="shared" si="40"/>
        <v>Unique ID</v>
      </c>
      <c r="V870" t="str">
        <f t="shared" si="41"/>
        <v>No</v>
      </c>
    </row>
    <row r="871" spans="1:22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>
        <f t="shared" si="39"/>
        <v>1</v>
      </c>
      <c r="R871" t="str">
        <f t="shared" si="40"/>
        <v>Unique ID</v>
      </c>
      <c r="V871" t="str">
        <f t="shared" si="41"/>
        <v>No</v>
      </c>
    </row>
    <row r="872" spans="1:22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>
        <f t="shared" si="39"/>
        <v>1</v>
      </c>
      <c r="R872" t="str">
        <f t="shared" si="40"/>
        <v>Unique ID</v>
      </c>
      <c r="V872" t="str">
        <f t="shared" si="41"/>
        <v>No</v>
      </c>
    </row>
    <row r="873" spans="1:22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>
        <f t="shared" si="39"/>
        <v>1</v>
      </c>
      <c r="R873" t="str">
        <f t="shared" si="40"/>
        <v>Unique ID</v>
      </c>
      <c r="V873" t="str">
        <f t="shared" si="41"/>
        <v>No</v>
      </c>
    </row>
    <row r="874" spans="1:22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>
        <f t="shared" si="39"/>
        <v>1</v>
      </c>
      <c r="R874" t="str">
        <f t="shared" si="40"/>
        <v>Unique ID</v>
      </c>
      <c r="V874" t="str">
        <f t="shared" si="41"/>
        <v>No</v>
      </c>
    </row>
    <row r="875" spans="1:22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>
        <f t="shared" si="39"/>
        <v>1</v>
      </c>
      <c r="R875" t="str">
        <f t="shared" si="40"/>
        <v>Unique ID</v>
      </c>
      <c r="V875" t="str">
        <f t="shared" si="41"/>
        <v>No</v>
      </c>
    </row>
    <row r="876" spans="1:22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>
        <f t="shared" si="39"/>
        <v>1</v>
      </c>
      <c r="R876" t="str">
        <f t="shared" si="40"/>
        <v>Unique ID</v>
      </c>
      <c r="V876" t="str">
        <f t="shared" si="41"/>
        <v>No</v>
      </c>
    </row>
    <row r="877" spans="1:22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>
        <f t="shared" si="39"/>
        <v>1</v>
      </c>
      <c r="R877" t="str">
        <f t="shared" si="40"/>
        <v>Unique ID</v>
      </c>
      <c r="V877" t="str">
        <f t="shared" si="41"/>
        <v>No</v>
      </c>
    </row>
    <row r="878" spans="1:22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>
        <f t="shared" si="39"/>
        <v>1</v>
      </c>
      <c r="R878" t="str">
        <f t="shared" si="40"/>
        <v>Unique ID</v>
      </c>
      <c r="V878" t="str">
        <f t="shared" si="41"/>
        <v>No</v>
      </c>
    </row>
    <row r="879" spans="1:22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>
        <f t="shared" si="39"/>
        <v>1</v>
      </c>
      <c r="R879" t="str">
        <f t="shared" si="40"/>
        <v>Unique ID</v>
      </c>
      <c r="V879" t="str">
        <f t="shared" si="41"/>
        <v>No</v>
      </c>
    </row>
    <row r="880" spans="1:22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>
        <f t="shared" si="39"/>
        <v>1</v>
      </c>
      <c r="R880" t="str">
        <f t="shared" si="40"/>
        <v>Unique ID</v>
      </c>
      <c r="V880" t="str">
        <f t="shared" si="41"/>
        <v>No</v>
      </c>
    </row>
    <row r="881" spans="1:22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>
        <f t="shared" si="39"/>
        <v>1</v>
      </c>
      <c r="R881" t="str">
        <f t="shared" si="40"/>
        <v>Unique ID</v>
      </c>
      <c r="V881" t="str">
        <f t="shared" si="41"/>
        <v>No</v>
      </c>
    </row>
    <row r="882" spans="1:22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>
        <f t="shared" si="39"/>
        <v>1</v>
      </c>
      <c r="R882" t="str">
        <f t="shared" si="40"/>
        <v>Unique ID</v>
      </c>
      <c r="V882" t="str">
        <f t="shared" si="41"/>
        <v>No</v>
      </c>
    </row>
    <row r="883" spans="1:22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>
        <f t="shared" si="39"/>
        <v>1</v>
      </c>
      <c r="R883" t="str">
        <f t="shared" si="40"/>
        <v>Unique ID</v>
      </c>
      <c r="V883" t="str">
        <f t="shared" si="41"/>
        <v>No</v>
      </c>
    </row>
    <row r="884" spans="1:22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>
        <f t="shared" si="39"/>
        <v>1</v>
      </c>
      <c r="R884" t="str">
        <f t="shared" si="40"/>
        <v>Unique ID</v>
      </c>
      <c r="V884" t="str">
        <f t="shared" si="41"/>
        <v>No</v>
      </c>
    </row>
    <row r="885" spans="1:22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>
        <f t="shared" si="39"/>
        <v>1</v>
      </c>
      <c r="R885" t="str">
        <f t="shared" si="40"/>
        <v>Unique ID</v>
      </c>
      <c r="V885" t="str">
        <f t="shared" si="41"/>
        <v>No</v>
      </c>
    </row>
    <row r="886" spans="1:22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>
        <f t="shared" si="39"/>
        <v>1</v>
      </c>
      <c r="R886" t="str">
        <f t="shared" si="40"/>
        <v>Unique ID</v>
      </c>
      <c r="V886" t="str">
        <f t="shared" si="41"/>
        <v>No</v>
      </c>
    </row>
    <row r="887" spans="1:22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>
        <f t="shared" si="39"/>
        <v>1</v>
      </c>
      <c r="R887" t="str">
        <f t="shared" si="40"/>
        <v>Unique ID</v>
      </c>
      <c r="V887" t="str">
        <f t="shared" si="41"/>
        <v>No</v>
      </c>
    </row>
    <row r="888" spans="1:22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>
        <f t="shared" si="39"/>
        <v>1</v>
      </c>
      <c r="R888" t="str">
        <f t="shared" si="40"/>
        <v>Unique ID</v>
      </c>
      <c r="V888" t="str">
        <f t="shared" si="41"/>
        <v>No</v>
      </c>
    </row>
    <row r="889" spans="1:22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>
        <f t="shared" si="39"/>
        <v>1</v>
      </c>
      <c r="R889" t="str">
        <f t="shared" si="40"/>
        <v>Unique ID</v>
      </c>
      <c r="V889" t="str">
        <f t="shared" si="41"/>
        <v>No</v>
      </c>
    </row>
    <row r="890" spans="1:22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>
        <f t="shared" si="39"/>
        <v>1</v>
      </c>
      <c r="R890" t="str">
        <f t="shared" si="40"/>
        <v>Unique ID</v>
      </c>
      <c r="V890" t="str">
        <f t="shared" si="41"/>
        <v>Yes</v>
      </c>
    </row>
    <row r="891" spans="1:22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>
        <f t="shared" si="39"/>
        <v>1</v>
      </c>
      <c r="R891" t="str">
        <f t="shared" si="40"/>
        <v>Unique ID</v>
      </c>
      <c r="V891" t="str">
        <f t="shared" si="41"/>
        <v>No</v>
      </c>
    </row>
    <row r="892" spans="1:22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>
        <f t="shared" si="39"/>
        <v>1</v>
      </c>
      <c r="R892" t="str">
        <f t="shared" si="40"/>
        <v>Unique ID</v>
      </c>
      <c r="V892" t="str">
        <f t="shared" si="41"/>
        <v>No</v>
      </c>
    </row>
    <row r="893" spans="1:22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>
        <f t="shared" si="39"/>
        <v>1</v>
      </c>
      <c r="R893" t="str">
        <f t="shared" si="40"/>
        <v>Unique ID</v>
      </c>
      <c r="V893" t="str">
        <f t="shared" si="41"/>
        <v>No</v>
      </c>
    </row>
    <row r="894" spans="1:22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>
        <f t="shared" si="39"/>
        <v>1</v>
      </c>
      <c r="R894" t="str">
        <f t="shared" si="40"/>
        <v>Unique ID</v>
      </c>
      <c r="V894" t="str">
        <f t="shared" si="41"/>
        <v>No</v>
      </c>
    </row>
    <row r="895" spans="1:22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>
        <f t="shared" si="39"/>
        <v>1</v>
      </c>
      <c r="R895" t="str">
        <f t="shared" si="40"/>
        <v>Unique ID</v>
      </c>
      <c r="V895" t="str">
        <f t="shared" si="41"/>
        <v>No</v>
      </c>
    </row>
    <row r="896" spans="1:22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>
        <f t="shared" si="39"/>
        <v>1</v>
      </c>
      <c r="R896" t="str">
        <f t="shared" si="40"/>
        <v>Unique ID</v>
      </c>
      <c r="V896" t="str">
        <f t="shared" si="41"/>
        <v>No</v>
      </c>
    </row>
    <row r="897" spans="1:22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>
        <f t="shared" si="39"/>
        <v>1</v>
      </c>
      <c r="R897" t="str">
        <f t="shared" si="40"/>
        <v>Unique ID</v>
      </c>
      <c r="V897" t="str">
        <f t="shared" si="41"/>
        <v>No</v>
      </c>
    </row>
    <row r="898" spans="1:22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>
        <f t="shared" si="39"/>
        <v>1</v>
      </c>
      <c r="R898" t="str">
        <f t="shared" si="40"/>
        <v>Unique ID</v>
      </c>
      <c r="V898" t="str">
        <f t="shared" si="41"/>
        <v>No</v>
      </c>
    </row>
    <row r="899" spans="1:22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>
        <f t="shared" ref="Q899:Q962" si="42">COUNTIF($A:$A,A899)</f>
        <v>1</v>
      </c>
      <c r="R899" t="str">
        <f t="shared" ref="R899:R962" si="43">IF(Q899&gt;1,"Duplicate ID","Unique ID")</f>
        <v>Unique ID</v>
      </c>
      <c r="V899" t="str">
        <f t="shared" ref="V899:V962" si="44">IF(OR(L899&lt;$U$5,L899&gt;$U$6),"Yes","No")</f>
        <v>No</v>
      </c>
    </row>
    <row r="900" spans="1:22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>
        <f t="shared" si="42"/>
        <v>1</v>
      </c>
      <c r="R900" t="str">
        <f t="shared" si="43"/>
        <v>Unique ID</v>
      </c>
      <c r="V900" t="str">
        <f t="shared" si="44"/>
        <v>No</v>
      </c>
    </row>
    <row r="901" spans="1:22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>
        <f t="shared" si="42"/>
        <v>1</v>
      </c>
      <c r="R901" t="str">
        <f t="shared" si="43"/>
        <v>Unique ID</v>
      </c>
      <c r="V901" t="str">
        <f t="shared" si="44"/>
        <v>No</v>
      </c>
    </row>
    <row r="902" spans="1:22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>
        <f t="shared" si="42"/>
        <v>1</v>
      </c>
      <c r="R902" t="str">
        <f t="shared" si="43"/>
        <v>Unique ID</v>
      </c>
      <c r="V902" t="str">
        <f t="shared" si="44"/>
        <v>No</v>
      </c>
    </row>
    <row r="903" spans="1:22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>
        <f t="shared" si="42"/>
        <v>1</v>
      </c>
      <c r="R903" t="str">
        <f t="shared" si="43"/>
        <v>Unique ID</v>
      </c>
      <c r="V903" t="str">
        <f t="shared" si="44"/>
        <v>No</v>
      </c>
    </row>
    <row r="904" spans="1:22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>
        <f t="shared" si="42"/>
        <v>1</v>
      </c>
      <c r="R904" t="str">
        <f t="shared" si="43"/>
        <v>Unique ID</v>
      </c>
      <c r="V904" t="str">
        <f t="shared" si="44"/>
        <v>No</v>
      </c>
    </row>
    <row r="905" spans="1:22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>
        <f t="shared" si="42"/>
        <v>1</v>
      </c>
      <c r="R905" t="str">
        <f t="shared" si="43"/>
        <v>Unique ID</v>
      </c>
      <c r="V905" t="str">
        <f t="shared" si="44"/>
        <v>No</v>
      </c>
    </row>
    <row r="906" spans="1:22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>
        <f t="shared" si="42"/>
        <v>1</v>
      </c>
      <c r="R906" t="str">
        <f t="shared" si="43"/>
        <v>Unique ID</v>
      </c>
      <c r="V906" t="str">
        <f t="shared" si="44"/>
        <v>Yes</v>
      </c>
    </row>
    <row r="907" spans="1:22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>
        <f t="shared" si="42"/>
        <v>1</v>
      </c>
      <c r="R907" t="str">
        <f t="shared" si="43"/>
        <v>Unique ID</v>
      </c>
      <c r="V907" t="str">
        <f t="shared" si="44"/>
        <v>No</v>
      </c>
    </row>
    <row r="908" spans="1:22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>
        <f t="shared" si="42"/>
        <v>1</v>
      </c>
      <c r="R908" t="str">
        <f t="shared" si="43"/>
        <v>Unique ID</v>
      </c>
      <c r="V908" t="str">
        <f t="shared" si="44"/>
        <v>No</v>
      </c>
    </row>
    <row r="909" spans="1:22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>
        <f t="shared" si="42"/>
        <v>1</v>
      </c>
      <c r="R909" t="str">
        <f t="shared" si="43"/>
        <v>Unique ID</v>
      </c>
      <c r="V909" t="str">
        <f t="shared" si="44"/>
        <v>No</v>
      </c>
    </row>
    <row r="910" spans="1:22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>
        <f t="shared" si="42"/>
        <v>1</v>
      </c>
      <c r="R910" t="str">
        <f t="shared" si="43"/>
        <v>Unique ID</v>
      </c>
      <c r="V910" t="str">
        <f t="shared" si="44"/>
        <v>No</v>
      </c>
    </row>
    <row r="911" spans="1:22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>
        <f t="shared" si="42"/>
        <v>1</v>
      </c>
      <c r="R911" t="str">
        <f t="shared" si="43"/>
        <v>Unique ID</v>
      </c>
      <c r="V911" t="str">
        <f t="shared" si="44"/>
        <v>No</v>
      </c>
    </row>
    <row r="912" spans="1:22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>
        <f t="shared" si="42"/>
        <v>1</v>
      </c>
      <c r="R912" t="str">
        <f t="shared" si="43"/>
        <v>Unique ID</v>
      </c>
      <c r="V912" t="str">
        <f t="shared" si="44"/>
        <v>No</v>
      </c>
    </row>
    <row r="913" spans="1:22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>
        <f t="shared" si="42"/>
        <v>1</v>
      </c>
      <c r="R913" t="str">
        <f t="shared" si="43"/>
        <v>Unique ID</v>
      </c>
      <c r="V913" t="str">
        <f t="shared" si="44"/>
        <v>No</v>
      </c>
    </row>
    <row r="914" spans="1:22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>
        <f t="shared" si="42"/>
        <v>1</v>
      </c>
      <c r="R914" t="str">
        <f t="shared" si="43"/>
        <v>Unique ID</v>
      </c>
      <c r="V914" t="str">
        <f t="shared" si="44"/>
        <v>No</v>
      </c>
    </row>
    <row r="915" spans="1:22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>
        <f t="shared" si="42"/>
        <v>1</v>
      </c>
      <c r="R915" t="str">
        <f t="shared" si="43"/>
        <v>Unique ID</v>
      </c>
      <c r="V915" t="str">
        <f t="shared" si="44"/>
        <v>No</v>
      </c>
    </row>
    <row r="916" spans="1:22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>
        <f t="shared" si="42"/>
        <v>1</v>
      </c>
      <c r="R916" t="str">
        <f t="shared" si="43"/>
        <v>Unique ID</v>
      </c>
      <c r="V916" t="str">
        <f t="shared" si="44"/>
        <v>No</v>
      </c>
    </row>
    <row r="917" spans="1:22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>
        <f t="shared" si="42"/>
        <v>1</v>
      </c>
      <c r="R917" t="str">
        <f t="shared" si="43"/>
        <v>Unique ID</v>
      </c>
      <c r="V917" t="str">
        <f t="shared" si="44"/>
        <v>No</v>
      </c>
    </row>
    <row r="918" spans="1:22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>
        <f t="shared" si="42"/>
        <v>2</v>
      </c>
      <c r="R918" t="str">
        <f t="shared" si="43"/>
        <v>Duplicate ID</v>
      </c>
      <c r="V918" t="str">
        <f t="shared" si="44"/>
        <v>No</v>
      </c>
    </row>
    <row r="919" spans="1:22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>
        <f t="shared" si="42"/>
        <v>1</v>
      </c>
      <c r="R919" t="str">
        <f t="shared" si="43"/>
        <v>Unique ID</v>
      </c>
      <c r="V919" t="str">
        <f t="shared" si="44"/>
        <v>No</v>
      </c>
    </row>
    <row r="920" spans="1:22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>
        <f t="shared" si="42"/>
        <v>1</v>
      </c>
      <c r="R920" t="str">
        <f t="shared" si="43"/>
        <v>Unique ID</v>
      </c>
      <c r="V920" t="str">
        <f t="shared" si="44"/>
        <v>No</v>
      </c>
    </row>
    <row r="921" spans="1:22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>
        <f t="shared" si="42"/>
        <v>1</v>
      </c>
      <c r="R921" t="str">
        <f t="shared" si="43"/>
        <v>Unique ID</v>
      </c>
      <c r="V921" t="str">
        <f t="shared" si="44"/>
        <v>No</v>
      </c>
    </row>
    <row r="922" spans="1:22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>
        <f t="shared" si="42"/>
        <v>1</v>
      </c>
      <c r="R922" t="str">
        <f t="shared" si="43"/>
        <v>Unique ID</v>
      </c>
      <c r="V922" t="str">
        <f t="shared" si="44"/>
        <v>Yes</v>
      </c>
    </row>
    <row r="923" spans="1:22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>
        <f t="shared" si="42"/>
        <v>1</v>
      </c>
      <c r="R923" t="str">
        <f t="shared" si="43"/>
        <v>Unique ID</v>
      </c>
      <c r="V923" t="str">
        <f t="shared" si="44"/>
        <v>No</v>
      </c>
    </row>
    <row r="924" spans="1:22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>
        <f t="shared" si="42"/>
        <v>1</v>
      </c>
      <c r="R924" t="str">
        <f t="shared" si="43"/>
        <v>Unique ID</v>
      </c>
      <c r="V924" t="str">
        <f t="shared" si="44"/>
        <v>No</v>
      </c>
    </row>
    <row r="925" spans="1:22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>
        <f t="shared" si="42"/>
        <v>1</v>
      </c>
      <c r="R925" t="str">
        <f t="shared" si="43"/>
        <v>Unique ID</v>
      </c>
      <c r="V925" t="str">
        <f t="shared" si="44"/>
        <v>No</v>
      </c>
    </row>
    <row r="926" spans="1:22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>
        <f t="shared" si="42"/>
        <v>1</v>
      </c>
      <c r="R926" t="str">
        <f t="shared" si="43"/>
        <v>Unique ID</v>
      </c>
      <c r="V926" t="str">
        <f t="shared" si="44"/>
        <v>No</v>
      </c>
    </row>
    <row r="927" spans="1:22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>
        <f t="shared" si="42"/>
        <v>1</v>
      </c>
      <c r="R927" t="str">
        <f t="shared" si="43"/>
        <v>Unique ID</v>
      </c>
      <c r="V927" t="str">
        <f t="shared" si="44"/>
        <v>No</v>
      </c>
    </row>
    <row r="928" spans="1:22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>
        <f t="shared" si="42"/>
        <v>1</v>
      </c>
      <c r="R928" t="str">
        <f t="shared" si="43"/>
        <v>Unique ID</v>
      </c>
      <c r="V928" t="str">
        <f t="shared" si="44"/>
        <v>No</v>
      </c>
    </row>
    <row r="929" spans="1:22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>
        <f t="shared" si="42"/>
        <v>1</v>
      </c>
      <c r="R929" t="str">
        <f t="shared" si="43"/>
        <v>Unique ID</v>
      </c>
      <c r="V929" t="str">
        <f t="shared" si="44"/>
        <v>No</v>
      </c>
    </row>
    <row r="930" spans="1:22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>
        <f t="shared" si="42"/>
        <v>1</v>
      </c>
      <c r="R930" t="str">
        <f t="shared" si="43"/>
        <v>Unique ID</v>
      </c>
      <c r="V930" t="str">
        <f t="shared" si="44"/>
        <v>No</v>
      </c>
    </row>
    <row r="931" spans="1:22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>
        <f t="shared" si="42"/>
        <v>1</v>
      </c>
      <c r="R931" t="str">
        <f t="shared" si="43"/>
        <v>Unique ID</v>
      </c>
      <c r="V931" t="str">
        <f t="shared" si="44"/>
        <v>No</v>
      </c>
    </row>
    <row r="932" spans="1:22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>
        <f t="shared" si="42"/>
        <v>1</v>
      </c>
      <c r="R932" t="str">
        <f t="shared" si="43"/>
        <v>Unique ID</v>
      </c>
      <c r="V932" t="str">
        <f t="shared" si="44"/>
        <v>Yes</v>
      </c>
    </row>
    <row r="933" spans="1:22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>
        <f t="shared" si="42"/>
        <v>1</v>
      </c>
      <c r="R933" t="str">
        <f t="shared" si="43"/>
        <v>Unique ID</v>
      </c>
      <c r="V933" t="str">
        <f t="shared" si="44"/>
        <v>No</v>
      </c>
    </row>
    <row r="934" spans="1:22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>
        <f t="shared" si="42"/>
        <v>1</v>
      </c>
      <c r="R934" t="str">
        <f t="shared" si="43"/>
        <v>Unique ID</v>
      </c>
      <c r="V934" t="str">
        <f t="shared" si="44"/>
        <v>No</v>
      </c>
    </row>
    <row r="935" spans="1:22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>
        <f t="shared" si="42"/>
        <v>1</v>
      </c>
      <c r="R935" t="str">
        <f t="shared" si="43"/>
        <v>Unique ID</v>
      </c>
      <c r="V935" t="str">
        <f t="shared" si="44"/>
        <v>No</v>
      </c>
    </row>
    <row r="936" spans="1:22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>
        <f t="shared" si="42"/>
        <v>1</v>
      </c>
      <c r="R936" t="str">
        <f t="shared" si="43"/>
        <v>Unique ID</v>
      </c>
      <c r="V936" t="str">
        <f t="shared" si="44"/>
        <v>No</v>
      </c>
    </row>
    <row r="937" spans="1:22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>
        <f t="shared" si="42"/>
        <v>1</v>
      </c>
      <c r="R937" t="str">
        <f t="shared" si="43"/>
        <v>Unique ID</v>
      </c>
      <c r="V937" t="str">
        <f t="shared" si="44"/>
        <v>No</v>
      </c>
    </row>
    <row r="938" spans="1:22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>
        <f t="shared" si="42"/>
        <v>1</v>
      </c>
      <c r="R938" t="str">
        <f t="shared" si="43"/>
        <v>Unique ID</v>
      </c>
      <c r="V938" t="str">
        <f t="shared" si="44"/>
        <v>No</v>
      </c>
    </row>
    <row r="939" spans="1:22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>
        <f t="shared" si="42"/>
        <v>1</v>
      </c>
      <c r="R939" t="str">
        <f t="shared" si="43"/>
        <v>Unique ID</v>
      </c>
      <c r="V939" t="str">
        <f t="shared" si="44"/>
        <v>No</v>
      </c>
    </row>
    <row r="940" spans="1:22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>
        <f t="shared" si="42"/>
        <v>1</v>
      </c>
      <c r="R940" t="str">
        <f t="shared" si="43"/>
        <v>Unique ID</v>
      </c>
      <c r="V940" t="str">
        <f t="shared" si="44"/>
        <v>No</v>
      </c>
    </row>
    <row r="941" spans="1:22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>
        <f t="shared" si="42"/>
        <v>1</v>
      </c>
      <c r="R941" t="str">
        <f t="shared" si="43"/>
        <v>Unique ID</v>
      </c>
      <c r="V941" t="str">
        <f t="shared" si="44"/>
        <v>No</v>
      </c>
    </row>
    <row r="942" spans="1:22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>
        <f t="shared" si="42"/>
        <v>1</v>
      </c>
      <c r="R942" t="str">
        <f t="shared" si="43"/>
        <v>Unique ID</v>
      </c>
      <c r="V942" t="str">
        <f t="shared" si="44"/>
        <v>No</v>
      </c>
    </row>
    <row r="943" spans="1:22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>
        <f t="shared" si="42"/>
        <v>1</v>
      </c>
      <c r="R943" t="str">
        <f t="shared" si="43"/>
        <v>Unique ID</v>
      </c>
      <c r="V943" t="str">
        <f t="shared" si="44"/>
        <v>No</v>
      </c>
    </row>
    <row r="944" spans="1:22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>
        <f t="shared" si="42"/>
        <v>1</v>
      </c>
      <c r="R944" t="str">
        <f t="shared" si="43"/>
        <v>Unique ID</v>
      </c>
      <c r="V944" t="str">
        <f t="shared" si="44"/>
        <v>Yes</v>
      </c>
    </row>
    <row r="945" spans="1:22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>
        <f t="shared" si="42"/>
        <v>1</v>
      </c>
      <c r="R945" t="str">
        <f t="shared" si="43"/>
        <v>Unique ID</v>
      </c>
      <c r="V945" t="str">
        <f t="shared" si="44"/>
        <v>No</v>
      </c>
    </row>
    <row r="946" spans="1:22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>
        <f t="shared" si="42"/>
        <v>1</v>
      </c>
      <c r="R946" t="str">
        <f t="shared" si="43"/>
        <v>Unique ID</v>
      </c>
      <c r="V946" t="str">
        <f t="shared" si="44"/>
        <v>No</v>
      </c>
    </row>
    <row r="947" spans="1:22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>
        <f t="shared" si="42"/>
        <v>1</v>
      </c>
      <c r="R947" t="str">
        <f t="shared" si="43"/>
        <v>Unique ID</v>
      </c>
      <c r="V947" t="str">
        <f t="shared" si="44"/>
        <v>No</v>
      </c>
    </row>
    <row r="948" spans="1:22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>
        <f t="shared" si="42"/>
        <v>1</v>
      </c>
      <c r="R948" t="str">
        <f t="shared" si="43"/>
        <v>Unique ID</v>
      </c>
      <c r="V948" t="str">
        <f t="shared" si="44"/>
        <v>No</v>
      </c>
    </row>
    <row r="949" spans="1:22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>
        <f t="shared" si="42"/>
        <v>1</v>
      </c>
      <c r="R949" t="str">
        <f t="shared" si="43"/>
        <v>Unique ID</v>
      </c>
      <c r="V949" t="str">
        <f t="shared" si="44"/>
        <v>Yes</v>
      </c>
    </row>
    <row r="950" spans="1:22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>
        <f t="shared" si="42"/>
        <v>1</v>
      </c>
      <c r="R950" t="str">
        <f t="shared" si="43"/>
        <v>Unique ID</v>
      </c>
      <c r="V950" t="str">
        <f t="shared" si="44"/>
        <v>No</v>
      </c>
    </row>
    <row r="951" spans="1:22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>
        <f t="shared" si="42"/>
        <v>1</v>
      </c>
      <c r="R951" t="str">
        <f t="shared" si="43"/>
        <v>Unique ID</v>
      </c>
      <c r="V951" t="str">
        <f t="shared" si="44"/>
        <v>No</v>
      </c>
    </row>
    <row r="952" spans="1:22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>
        <f t="shared" si="42"/>
        <v>1</v>
      </c>
      <c r="R952" t="str">
        <f t="shared" si="43"/>
        <v>Unique ID</v>
      </c>
      <c r="V952" t="str">
        <f t="shared" si="44"/>
        <v>No</v>
      </c>
    </row>
    <row r="953" spans="1:22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>
        <f t="shared" si="42"/>
        <v>1</v>
      </c>
      <c r="R953" t="str">
        <f t="shared" si="43"/>
        <v>Unique ID</v>
      </c>
      <c r="V953" t="str">
        <f t="shared" si="44"/>
        <v>No</v>
      </c>
    </row>
    <row r="954" spans="1:22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>
        <f t="shared" si="42"/>
        <v>1</v>
      </c>
      <c r="R954" t="str">
        <f t="shared" si="43"/>
        <v>Unique ID</v>
      </c>
      <c r="V954" t="str">
        <f t="shared" si="44"/>
        <v>No</v>
      </c>
    </row>
    <row r="955" spans="1:22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>
        <f t="shared" si="42"/>
        <v>1</v>
      </c>
      <c r="R955" t="str">
        <f t="shared" si="43"/>
        <v>Unique ID</v>
      </c>
      <c r="V955" t="str">
        <f t="shared" si="44"/>
        <v>No</v>
      </c>
    </row>
    <row r="956" spans="1:22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>
        <f t="shared" si="42"/>
        <v>1</v>
      </c>
      <c r="R956" t="str">
        <f t="shared" si="43"/>
        <v>Unique ID</v>
      </c>
      <c r="V956" t="str">
        <f t="shared" si="44"/>
        <v>No</v>
      </c>
    </row>
    <row r="957" spans="1:22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>
        <f t="shared" si="42"/>
        <v>1</v>
      </c>
      <c r="R957" t="str">
        <f t="shared" si="43"/>
        <v>Unique ID</v>
      </c>
      <c r="V957" t="str">
        <f t="shared" si="44"/>
        <v>No</v>
      </c>
    </row>
    <row r="958" spans="1:22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>
        <f t="shared" si="42"/>
        <v>1</v>
      </c>
      <c r="R958" t="str">
        <f t="shared" si="43"/>
        <v>Unique ID</v>
      </c>
      <c r="V958" t="str">
        <f t="shared" si="44"/>
        <v>No</v>
      </c>
    </row>
    <row r="959" spans="1:22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>
        <f t="shared" si="42"/>
        <v>1</v>
      </c>
      <c r="R959" t="str">
        <f t="shared" si="43"/>
        <v>Unique ID</v>
      </c>
      <c r="V959" t="str">
        <f t="shared" si="44"/>
        <v>No</v>
      </c>
    </row>
    <row r="960" spans="1:22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>
        <f t="shared" si="42"/>
        <v>1</v>
      </c>
      <c r="R960" t="str">
        <f t="shared" si="43"/>
        <v>Unique ID</v>
      </c>
      <c r="V960" t="str">
        <f t="shared" si="44"/>
        <v>No</v>
      </c>
    </row>
    <row r="961" spans="1:22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>
        <f t="shared" si="42"/>
        <v>1</v>
      </c>
      <c r="R961" t="str">
        <f t="shared" si="43"/>
        <v>Unique ID</v>
      </c>
      <c r="V961" t="str">
        <f t="shared" si="44"/>
        <v>No</v>
      </c>
    </row>
    <row r="962" spans="1:22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>
        <f t="shared" si="42"/>
        <v>1</v>
      </c>
      <c r="R962" t="str">
        <f t="shared" si="43"/>
        <v>Unique ID</v>
      </c>
      <c r="V962" t="str">
        <f t="shared" si="44"/>
        <v>No</v>
      </c>
    </row>
    <row r="963" spans="1:22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>
        <f t="shared" ref="Q963:Q1026" si="45">COUNTIF($A:$A,A963)</f>
        <v>1</v>
      </c>
      <c r="R963" t="str">
        <f t="shared" ref="R963:R1026" si="46">IF(Q963&gt;1,"Duplicate ID","Unique ID")</f>
        <v>Unique ID</v>
      </c>
      <c r="V963" t="str">
        <f t="shared" ref="V963:V1026" si="47">IF(OR(L963&lt;$U$5,L963&gt;$U$6),"Yes","No")</f>
        <v>No</v>
      </c>
    </row>
    <row r="964" spans="1:22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>
        <f t="shared" si="45"/>
        <v>1</v>
      </c>
      <c r="R964" t="str">
        <f t="shared" si="46"/>
        <v>Unique ID</v>
      </c>
      <c r="V964" t="str">
        <f t="shared" si="47"/>
        <v>No</v>
      </c>
    </row>
    <row r="965" spans="1:22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>
        <f t="shared" si="45"/>
        <v>1</v>
      </c>
      <c r="R965" t="str">
        <f t="shared" si="46"/>
        <v>Unique ID</v>
      </c>
      <c r="V965" t="str">
        <f t="shared" si="47"/>
        <v>No</v>
      </c>
    </row>
    <row r="966" spans="1:22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>
        <f t="shared" si="45"/>
        <v>1</v>
      </c>
      <c r="R966" t="str">
        <f t="shared" si="46"/>
        <v>Unique ID</v>
      </c>
      <c r="V966" t="str">
        <f t="shared" si="47"/>
        <v>No</v>
      </c>
    </row>
    <row r="967" spans="1:22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>
        <f t="shared" si="45"/>
        <v>1</v>
      </c>
      <c r="R967" t="str">
        <f t="shared" si="46"/>
        <v>Unique ID</v>
      </c>
      <c r="V967" t="str">
        <f t="shared" si="47"/>
        <v>No</v>
      </c>
    </row>
    <row r="968" spans="1:22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>
        <f t="shared" si="45"/>
        <v>1</v>
      </c>
      <c r="R968" t="str">
        <f t="shared" si="46"/>
        <v>Unique ID</v>
      </c>
      <c r="V968" t="str">
        <f t="shared" si="47"/>
        <v>No</v>
      </c>
    </row>
    <row r="969" spans="1:22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>
        <f t="shared" si="45"/>
        <v>1</v>
      </c>
      <c r="R969" t="str">
        <f t="shared" si="46"/>
        <v>Unique ID</v>
      </c>
      <c r="V969" t="str">
        <f t="shared" si="47"/>
        <v>No</v>
      </c>
    </row>
    <row r="970" spans="1:22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>
        <f t="shared" si="45"/>
        <v>1</v>
      </c>
      <c r="R970" t="str">
        <f t="shared" si="46"/>
        <v>Unique ID</v>
      </c>
      <c r="V970" t="str">
        <f t="shared" si="47"/>
        <v>No</v>
      </c>
    </row>
    <row r="971" spans="1:22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>
        <f t="shared" si="45"/>
        <v>1</v>
      </c>
      <c r="R971" t="str">
        <f t="shared" si="46"/>
        <v>Unique ID</v>
      </c>
      <c r="V971" t="str">
        <f t="shared" si="47"/>
        <v>No</v>
      </c>
    </row>
    <row r="972" spans="1:22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>
        <f t="shared" si="45"/>
        <v>1</v>
      </c>
      <c r="R972" t="str">
        <f t="shared" si="46"/>
        <v>Unique ID</v>
      </c>
      <c r="V972" t="str">
        <f t="shared" si="47"/>
        <v>No</v>
      </c>
    </row>
    <row r="973" spans="1:22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>
        <f t="shared" si="45"/>
        <v>1</v>
      </c>
      <c r="R973" t="str">
        <f t="shared" si="46"/>
        <v>Unique ID</v>
      </c>
      <c r="V973" t="str">
        <f t="shared" si="47"/>
        <v>No</v>
      </c>
    </row>
    <row r="974" spans="1:22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>
        <f t="shared" si="45"/>
        <v>1</v>
      </c>
      <c r="R974" t="str">
        <f t="shared" si="46"/>
        <v>Unique ID</v>
      </c>
      <c r="V974" t="str">
        <f t="shared" si="47"/>
        <v>No</v>
      </c>
    </row>
    <row r="975" spans="1:22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>
        <f t="shared" si="45"/>
        <v>1</v>
      </c>
      <c r="R975" t="str">
        <f t="shared" si="46"/>
        <v>Unique ID</v>
      </c>
      <c r="V975" t="str">
        <f t="shared" si="47"/>
        <v>No</v>
      </c>
    </row>
    <row r="976" spans="1:22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>
        <f t="shared" si="45"/>
        <v>1</v>
      </c>
      <c r="R976" t="str">
        <f t="shared" si="46"/>
        <v>Unique ID</v>
      </c>
      <c r="V976" t="str">
        <f t="shared" si="47"/>
        <v>No</v>
      </c>
    </row>
    <row r="977" spans="1:22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>
        <f t="shared" si="45"/>
        <v>1</v>
      </c>
      <c r="R977" t="str">
        <f t="shared" si="46"/>
        <v>Unique ID</v>
      </c>
      <c r="V977" t="str">
        <f t="shared" si="47"/>
        <v>No</v>
      </c>
    </row>
    <row r="978" spans="1:22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>
        <f t="shared" si="45"/>
        <v>1</v>
      </c>
      <c r="R978" t="str">
        <f t="shared" si="46"/>
        <v>Unique ID</v>
      </c>
      <c r="V978" t="str">
        <f t="shared" si="47"/>
        <v>No</v>
      </c>
    </row>
    <row r="979" spans="1:22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>
        <f t="shared" si="45"/>
        <v>1</v>
      </c>
      <c r="R979" t="str">
        <f t="shared" si="46"/>
        <v>Unique ID</v>
      </c>
      <c r="V979" t="str">
        <f t="shared" si="47"/>
        <v>No</v>
      </c>
    </row>
    <row r="980" spans="1:22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>
        <f t="shared" si="45"/>
        <v>1</v>
      </c>
      <c r="R980" t="str">
        <f t="shared" si="46"/>
        <v>Unique ID</v>
      </c>
      <c r="V980" t="str">
        <f t="shared" si="47"/>
        <v>No</v>
      </c>
    </row>
    <row r="981" spans="1:22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>
        <f t="shared" si="45"/>
        <v>1</v>
      </c>
      <c r="R981" t="str">
        <f t="shared" si="46"/>
        <v>Unique ID</v>
      </c>
      <c r="V981" t="str">
        <f t="shared" si="47"/>
        <v>No</v>
      </c>
    </row>
    <row r="982" spans="1:22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>
        <f t="shared" si="45"/>
        <v>1</v>
      </c>
      <c r="R982" t="str">
        <f t="shared" si="46"/>
        <v>Unique ID</v>
      </c>
      <c r="V982" t="str">
        <f t="shared" si="47"/>
        <v>No</v>
      </c>
    </row>
    <row r="983" spans="1:22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>
        <f t="shared" si="45"/>
        <v>1</v>
      </c>
      <c r="R983" t="str">
        <f t="shared" si="46"/>
        <v>Unique ID</v>
      </c>
      <c r="V983" t="str">
        <f t="shared" si="47"/>
        <v>No</v>
      </c>
    </row>
    <row r="984" spans="1:22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>
        <f t="shared" si="45"/>
        <v>1</v>
      </c>
      <c r="R984" t="str">
        <f t="shared" si="46"/>
        <v>Unique ID</v>
      </c>
      <c r="V984" t="str">
        <f t="shared" si="47"/>
        <v>No</v>
      </c>
    </row>
    <row r="985" spans="1:22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>
        <f t="shared" si="45"/>
        <v>1</v>
      </c>
      <c r="R985" t="str">
        <f t="shared" si="46"/>
        <v>Unique ID</v>
      </c>
      <c r="V985" t="str">
        <f t="shared" si="47"/>
        <v>No</v>
      </c>
    </row>
    <row r="986" spans="1:22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>
        <f t="shared" si="45"/>
        <v>1</v>
      </c>
      <c r="R986" t="str">
        <f t="shared" si="46"/>
        <v>Unique ID</v>
      </c>
      <c r="V986" t="str">
        <f t="shared" si="47"/>
        <v>No</v>
      </c>
    </row>
    <row r="987" spans="1:22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>
        <f t="shared" si="45"/>
        <v>1</v>
      </c>
      <c r="R987" t="str">
        <f t="shared" si="46"/>
        <v>Unique ID</v>
      </c>
      <c r="V987" t="str">
        <f t="shared" si="47"/>
        <v>No</v>
      </c>
    </row>
    <row r="988" spans="1:22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>
        <f t="shared" si="45"/>
        <v>1</v>
      </c>
      <c r="R988" t="str">
        <f t="shared" si="46"/>
        <v>Unique ID</v>
      </c>
      <c r="V988" t="str">
        <f t="shared" si="47"/>
        <v>No</v>
      </c>
    </row>
    <row r="989" spans="1:22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>
        <f t="shared" si="45"/>
        <v>1</v>
      </c>
      <c r="R989" t="str">
        <f t="shared" si="46"/>
        <v>Unique ID</v>
      </c>
      <c r="V989" t="str">
        <f t="shared" si="47"/>
        <v>No</v>
      </c>
    </row>
    <row r="990" spans="1:22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>
        <f t="shared" si="45"/>
        <v>1</v>
      </c>
      <c r="R990" t="str">
        <f t="shared" si="46"/>
        <v>Unique ID</v>
      </c>
      <c r="V990" t="str">
        <f t="shared" si="47"/>
        <v>No</v>
      </c>
    </row>
    <row r="991" spans="1:22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>
        <f t="shared" si="45"/>
        <v>1</v>
      </c>
      <c r="R991" t="str">
        <f t="shared" si="46"/>
        <v>Unique ID</v>
      </c>
      <c r="V991" t="str">
        <f t="shared" si="47"/>
        <v>No</v>
      </c>
    </row>
    <row r="992" spans="1:22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>
        <f t="shared" si="45"/>
        <v>1</v>
      </c>
      <c r="R992" t="str">
        <f t="shared" si="46"/>
        <v>Unique ID</v>
      </c>
      <c r="V992" t="str">
        <f t="shared" si="47"/>
        <v>No</v>
      </c>
    </row>
    <row r="993" spans="1:22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>
        <f t="shared" si="45"/>
        <v>1</v>
      </c>
      <c r="R993" t="str">
        <f t="shared" si="46"/>
        <v>Unique ID</v>
      </c>
      <c r="V993" t="str">
        <f t="shared" si="47"/>
        <v>No</v>
      </c>
    </row>
    <row r="994" spans="1:22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>
        <f t="shared" si="45"/>
        <v>1</v>
      </c>
      <c r="R994" t="str">
        <f t="shared" si="46"/>
        <v>Unique ID</v>
      </c>
      <c r="V994" t="str">
        <f t="shared" si="47"/>
        <v>Yes</v>
      </c>
    </row>
    <row r="995" spans="1:22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>
        <f t="shared" si="45"/>
        <v>1</v>
      </c>
      <c r="R995" t="str">
        <f t="shared" si="46"/>
        <v>Unique ID</v>
      </c>
      <c r="V995" t="str">
        <f t="shared" si="47"/>
        <v>No</v>
      </c>
    </row>
    <row r="996" spans="1:22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>
        <f t="shared" si="45"/>
        <v>1</v>
      </c>
      <c r="R996" t="str">
        <f t="shared" si="46"/>
        <v>Unique ID</v>
      </c>
      <c r="V996" t="str">
        <f t="shared" si="47"/>
        <v>No</v>
      </c>
    </row>
    <row r="997" spans="1:22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>
        <f t="shared" si="45"/>
        <v>1</v>
      </c>
      <c r="R997" t="str">
        <f t="shared" si="46"/>
        <v>Unique ID</v>
      </c>
      <c r="V997" t="str">
        <f t="shared" si="47"/>
        <v>No</v>
      </c>
    </row>
    <row r="998" spans="1:22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>
        <f t="shared" si="45"/>
        <v>1</v>
      </c>
      <c r="R998" t="str">
        <f t="shared" si="46"/>
        <v>Unique ID</v>
      </c>
      <c r="V998" t="str">
        <f t="shared" si="47"/>
        <v>Yes</v>
      </c>
    </row>
    <row r="999" spans="1:22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>
        <f t="shared" si="45"/>
        <v>1</v>
      </c>
      <c r="R999" t="str">
        <f t="shared" si="46"/>
        <v>Unique ID</v>
      </c>
      <c r="V999" t="str">
        <f t="shared" si="47"/>
        <v>No</v>
      </c>
    </row>
    <row r="1000" spans="1:22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>
        <f t="shared" si="45"/>
        <v>1</v>
      </c>
      <c r="R1000" t="str">
        <f t="shared" si="46"/>
        <v>Unique ID</v>
      </c>
      <c r="V1000" t="str">
        <f t="shared" si="47"/>
        <v>No</v>
      </c>
    </row>
    <row r="1001" spans="1:22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>
        <f t="shared" si="45"/>
        <v>1</v>
      </c>
      <c r="R1001" t="str">
        <f t="shared" si="46"/>
        <v>Unique ID</v>
      </c>
      <c r="V1001" t="str">
        <f t="shared" si="47"/>
        <v>No</v>
      </c>
    </row>
    <row r="1002" spans="1:22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>
        <f t="shared" si="45"/>
        <v>1</v>
      </c>
      <c r="R1002" t="str">
        <f t="shared" si="46"/>
        <v>Unique ID</v>
      </c>
      <c r="V1002" t="str">
        <f t="shared" si="47"/>
        <v>No</v>
      </c>
    </row>
    <row r="1003" spans="1:22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>
        <f t="shared" si="45"/>
        <v>1</v>
      </c>
      <c r="R1003" t="str">
        <f t="shared" si="46"/>
        <v>Unique ID</v>
      </c>
      <c r="V1003" t="str">
        <f t="shared" si="47"/>
        <v>No</v>
      </c>
    </row>
    <row r="1004" spans="1:22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>
        <f t="shared" si="45"/>
        <v>1</v>
      </c>
      <c r="R1004" t="str">
        <f t="shared" si="46"/>
        <v>Unique ID</v>
      </c>
      <c r="V1004" t="str">
        <f t="shared" si="47"/>
        <v>No</v>
      </c>
    </row>
    <row r="1005" spans="1:22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>
        <f t="shared" si="45"/>
        <v>1</v>
      </c>
      <c r="R1005" t="str">
        <f t="shared" si="46"/>
        <v>Unique ID</v>
      </c>
      <c r="V1005" t="str">
        <f t="shared" si="47"/>
        <v>No</v>
      </c>
    </row>
    <row r="1006" spans="1:22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>
        <f t="shared" si="45"/>
        <v>1</v>
      </c>
      <c r="R1006" t="str">
        <f t="shared" si="46"/>
        <v>Unique ID</v>
      </c>
      <c r="V1006" t="str">
        <f t="shared" si="47"/>
        <v>No</v>
      </c>
    </row>
    <row r="1007" spans="1:22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>
        <f t="shared" si="45"/>
        <v>1</v>
      </c>
      <c r="R1007" t="str">
        <f t="shared" si="46"/>
        <v>Unique ID</v>
      </c>
      <c r="V1007" t="str">
        <f t="shared" si="47"/>
        <v>No</v>
      </c>
    </row>
    <row r="1008" spans="1:22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>
        <f t="shared" si="45"/>
        <v>1</v>
      </c>
      <c r="R1008" t="str">
        <f t="shared" si="46"/>
        <v>Unique ID</v>
      </c>
      <c r="V1008" t="str">
        <f t="shared" si="47"/>
        <v>No</v>
      </c>
    </row>
    <row r="1009" spans="1:22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>
        <f t="shared" si="45"/>
        <v>1</v>
      </c>
      <c r="R1009" t="str">
        <f t="shared" si="46"/>
        <v>Unique ID</v>
      </c>
      <c r="V1009" t="str">
        <f t="shared" si="47"/>
        <v>No</v>
      </c>
    </row>
    <row r="1010" spans="1:22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>
        <f t="shared" si="45"/>
        <v>1</v>
      </c>
      <c r="R1010" t="str">
        <f t="shared" si="46"/>
        <v>Unique ID</v>
      </c>
      <c r="V1010" t="str">
        <f t="shared" si="47"/>
        <v>No</v>
      </c>
    </row>
    <row r="1011" spans="1:22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>
        <f t="shared" si="45"/>
        <v>1</v>
      </c>
      <c r="R1011" t="str">
        <f t="shared" si="46"/>
        <v>Unique ID</v>
      </c>
      <c r="V1011" t="str">
        <f t="shared" si="47"/>
        <v>No</v>
      </c>
    </row>
    <row r="1012" spans="1:22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>
        <f t="shared" si="45"/>
        <v>1</v>
      </c>
      <c r="R1012" t="str">
        <f t="shared" si="46"/>
        <v>Unique ID</v>
      </c>
      <c r="V1012" t="str">
        <f t="shared" si="47"/>
        <v>No</v>
      </c>
    </row>
    <row r="1013" spans="1:22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>
        <f t="shared" si="45"/>
        <v>1</v>
      </c>
      <c r="R1013" t="str">
        <f t="shared" si="46"/>
        <v>Unique ID</v>
      </c>
      <c r="V1013" t="str">
        <f t="shared" si="47"/>
        <v>Yes</v>
      </c>
    </row>
    <row r="1014" spans="1:22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>
        <f t="shared" si="45"/>
        <v>1</v>
      </c>
      <c r="R1014" t="str">
        <f t="shared" si="46"/>
        <v>Unique ID</v>
      </c>
      <c r="V1014" t="str">
        <f t="shared" si="47"/>
        <v>No</v>
      </c>
    </row>
    <row r="1015" spans="1:22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>
        <f t="shared" si="45"/>
        <v>1</v>
      </c>
      <c r="R1015" t="str">
        <f t="shared" si="46"/>
        <v>Unique ID</v>
      </c>
      <c r="V1015" t="str">
        <f t="shared" si="47"/>
        <v>No</v>
      </c>
    </row>
    <row r="1016" spans="1:22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>
        <f t="shared" si="45"/>
        <v>1</v>
      </c>
      <c r="R1016" t="str">
        <f t="shared" si="46"/>
        <v>Unique ID</v>
      </c>
      <c r="V1016" t="str">
        <f t="shared" si="47"/>
        <v>No</v>
      </c>
    </row>
    <row r="1017" spans="1:22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>
        <f t="shared" si="45"/>
        <v>1</v>
      </c>
      <c r="R1017" t="str">
        <f t="shared" si="46"/>
        <v>Unique ID</v>
      </c>
      <c r="V1017" t="str">
        <f t="shared" si="47"/>
        <v>No</v>
      </c>
    </row>
    <row r="1018" spans="1:22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>
        <f t="shared" si="45"/>
        <v>1</v>
      </c>
      <c r="R1018" t="str">
        <f t="shared" si="46"/>
        <v>Unique ID</v>
      </c>
      <c r="V1018" t="str">
        <f t="shared" si="47"/>
        <v>No</v>
      </c>
    </row>
    <row r="1019" spans="1:22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>
        <f t="shared" si="45"/>
        <v>1</v>
      </c>
      <c r="R1019" t="str">
        <f t="shared" si="46"/>
        <v>Unique ID</v>
      </c>
      <c r="V1019" t="str">
        <f t="shared" si="47"/>
        <v>No</v>
      </c>
    </row>
    <row r="1020" spans="1:22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>
        <f t="shared" si="45"/>
        <v>1</v>
      </c>
      <c r="R1020" t="str">
        <f t="shared" si="46"/>
        <v>Unique ID</v>
      </c>
      <c r="V1020" t="str">
        <f t="shared" si="47"/>
        <v>No</v>
      </c>
    </row>
    <row r="1021" spans="1:22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>
        <f t="shared" si="45"/>
        <v>1</v>
      </c>
      <c r="R1021" t="str">
        <f t="shared" si="46"/>
        <v>Unique ID</v>
      </c>
      <c r="V1021" t="str">
        <f t="shared" si="47"/>
        <v>No</v>
      </c>
    </row>
    <row r="1022" spans="1:22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>
        <f t="shared" si="45"/>
        <v>1</v>
      </c>
      <c r="R1022" t="str">
        <f t="shared" si="46"/>
        <v>Unique ID</v>
      </c>
      <c r="V1022" t="str">
        <f t="shared" si="47"/>
        <v>No</v>
      </c>
    </row>
    <row r="1023" spans="1:22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>
        <f t="shared" si="45"/>
        <v>1</v>
      </c>
      <c r="R1023" t="str">
        <f t="shared" si="46"/>
        <v>Unique ID</v>
      </c>
      <c r="V1023" t="str">
        <f t="shared" si="47"/>
        <v>No</v>
      </c>
    </row>
    <row r="1024" spans="1:22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>
        <f t="shared" si="45"/>
        <v>1</v>
      </c>
      <c r="R1024" t="str">
        <f t="shared" si="46"/>
        <v>Unique ID</v>
      </c>
      <c r="V1024" t="str">
        <f t="shared" si="47"/>
        <v>No</v>
      </c>
    </row>
    <row r="1025" spans="1:22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>
        <f t="shared" si="45"/>
        <v>1</v>
      </c>
      <c r="R1025" t="str">
        <f t="shared" si="46"/>
        <v>Unique ID</v>
      </c>
      <c r="V1025" t="str">
        <f t="shared" si="47"/>
        <v>No</v>
      </c>
    </row>
    <row r="1026" spans="1:22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>
        <f t="shared" si="45"/>
        <v>1</v>
      </c>
      <c r="R1026" t="str">
        <f t="shared" si="46"/>
        <v>Unique ID</v>
      </c>
      <c r="V1026" t="str">
        <f t="shared" si="47"/>
        <v>Yes</v>
      </c>
    </row>
    <row r="1027" spans="1:22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>
        <f t="shared" ref="Q1027:Q1090" si="48">COUNTIF($A:$A,A1027)</f>
        <v>1</v>
      </c>
      <c r="R1027" t="str">
        <f t="shared" ref="R1027:R1090" si="49">IF(Q1027&gt;1,"Duplicate ID","Unique ID")</f>
        <v>Unique ID</v>
      </c>
      <c r="V1027" t="str">
        <f t="shared" ref="V1027:V1090" si="50">IF(OR(L1027&lt;$U$5,L1027&gt;$U$6),"Yes","No")</f>
        <v>No</v>
      </c>
    </row>
    <row r="1028" spans="1:22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>
        <f t="shared" si="48"/>
        <v>1</v>
      </c>
      <c r="R1028" t="str">
        <f t="shared" si="49"/>
        <v>Unique ID</v>
      </c>
      <c r="V1028" t="str">
        <f t="shared" si="50"/>
        <v>No</v>
      </c>
    </row>
    <row r="1029" spans="1:22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>
        <f t="shared" si="48"/>
        <v>1</v>
      </c>
      <c r="R1029" t="str">
        <f t="shared" si="49"/>
        <v>Unique ID</v>
      </c>
      <c r="V1029" t="str">
        <f t="shared" si="50"/>
        <v>No</v>
      </c>
    </row>
    <row r="1030" spans="1:22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>
        <f t="shared" si="48"/>
        <v>1</v>
      </c>
      <c r="R1030" t="str">
        <f t="shared" si="49"/>
        <v>Unique ID</v>
      </c>
      <c r="V1030" t="str">
        <f t="shared" si="50"/>
        <v>No</v>
      </c>
    </row>
    <row r="1031" spans="1:22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>
        <f t="shared" si="48"/>
        <v>1</v>
      </c>
      <c r="R1031" t="str">
        <f t="shared" si="49"/>
        <v>Unique ID</v>
      </c>
      <c r="V1031" t="str">
        <f t="shared" si="50"/>
        <v>No</v>
      </c>
    </row>
    <row r="1032" spans="1:22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>
        <f t="shared" si="48"/>
        <v>1</v>
      </c>
      <c r="R1032" t="str">
        <f t="shared" si="49"/>
        <v>Unique ID</v>
      </c>
      <c r="V1032" t="str">
        <f t="shared" si="50"/>
        <v>No</v>
      </c>
    </row>
    <row r="1033" spans="1:22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>
        <f t="shared" si="48"/>
        <v>1</v>
      </c>
      <c r="R1033" t="str">
        <f t="shared" si="49"/>
        <v>Unique ID</v>
      </c>
      <c r="V1033" t="str">
        <f t="shared" si="50"/>
        <v>No</v>
      </c>
    </row>
    <row r="1034" spans="1:22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>
        <f t="shared" si="48"/>
        <v>1</v>
      </c>
      <c r="R1034" t="str">
        <f t="shared" si="49"/>
        <v>Unique ID</v>
      </c>
      <c r="V1034" t="str">
        <f t="shared" si="50"/>
        <v>No</v>
      </c>
    </row>
    <row r="1035" spans="1:22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>
        <f t="shared" si="48"/>
        <v>1</v>
      </c>
      <c r="R1035" t="str">
        <f t="shared" si="49"/>
        <v>Unique ID</v>
      </c>
      <c r="V1035" t="str">
        <f t="shared" si="50"/>
        <v>No</v>
      </c>
    </row>
    <row r="1036" spans="1:22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>
        <f t="shared" si="48"/>
        <v>1</v>
      </c>
      <c r="R1036" t="str">
        <f t="shared" si="49"/>
        <v>Unique ID</v>
      </c>
      <c r="V1036" t="str">
        <f t="shared" si="50"/>
        <v>No</v>
      </c>
    </row>
    <row r="1037" spans="1:22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>
        <f t="shared" si="48"/>
        <v>1</v>
      </c>
      <c r="R1037" t="str">
        <f t="shared" si="49"/>
        <v>Unique ID</v>
      </c>
      <c r="V1037" t="str">
        <f t="shared" si="50"/>
        <v>No</v>
      </c>
    </row>
    <row r="1038" spans="1:22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>
        <f t="shared" si="48"/>
        <v>1</v>
      </c>
      <c r="R1038" t="str">
        <f t="shared" si="49"/>
        <v>Unique ID</v>
      </c>
      <c r="V1038" t="str">
        <f t="shared" si="50"/>
        <v>No</v>
      </c>
    </row>
    <row r="1039" spans="1:22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>
        <f t="shared" si="48"/>
        <v>1</v>
      </c>
      <c r="R1039" t="str">
        <f t="shared" si="49"/>
        <v>Unique ID</v>
      </c>
      <c r="V1039" t="str">
        <f t="shared" si="50"/>
        <v>No</v>
      </c>
    </row>
    <row r="1040" spans="1:22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>
        <f t="shared" si="48"/>
        <v>1</v>
      </c>
      <c r="R1040" t="str">
        <f t="shared" si="49"/>
        <v>Unique ID</v>
      </c>
      <c r="V1040" t="str">
        <f t="shared" si="50"/>
        <v>No</v>
      </c>
    </row>
    <row r="1041" spans="1:22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>
        <f t="shared" si="48"/>
        <v>1</v>
      </c>
      <c r="R1041" t="str">
        <f t="shared" si="49"/>
        <v>Unique ID</v>
      </c>
      <c r="V1041" t="str">
        <f t="shared" si="50"/>
        <v>No</v>
      </c>
    </row>
    <row r="1042" spans="1:22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>
        <f t="shared" si="48"/>
        <v>1</v>
      </c>
      <c r="R1042" t="str">
        <f t="shared" si="49"/>
        <v>Unique ID</v>
      </c>
      <c r="V1042" t="str">
        <f t="shared" si="50"/>
        <v>No</v>
      </c>
    </row>
    <row r="1043" spans="1:22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>
        <f t="shared" si="48"/>
        <v>1</v>
      </c>
      <c r="R1043" t="str">
        <f t="shared" si="49"/>
        <v>Unique ID</v>
      </c>
      <c r="V1043" t="str">
        <f t="shared" si="50"/>
        <v>No</v>
      </c>
    </row>
    <row r="1044" spans="1:22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>
        <f t="shared" si="48"/>
        <v>1</v>
      </c>
      <c r="R1044" t="str">
        <f t="shared" si="49"/>
        <v>Unique ID</v>
      </c>
      <c r="V1044" t="str">
        <f t="shared" si="50"/>
        <v>No</v>
      </c>
    </row>
    <row r="1045" spans="1:22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>
        <f t="shared" si="48"/>
        <v>1</v>
      </c>
      <c r="R1045" t="str">
        <f t="shared" si="49"/>
        <v>Unique ID</v>
      </c>
      <c r="V1045" t="str">
        <f t="shared" si="50"/>
        <v>No</v>
      </c>
    </row>
    <row r="1046" spans="1:22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>
        <f t="shared" si="48"/>
        <v>1</v>
      </c>
      <c r="R1046" t="str">
        <f t="shared" si="49"/>
        <v>Unique ID</v>
      </c>
      <c r="V1046" t="str">
        <f t="shared" si="50"/>
        <v>No</v>
      </c>
    </row>
    <row r="1047" spans="1:22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>
        <f t="shared" si="48"/>
        <v>1</v>
      </c>
      <c r="R1047" t="str">
        <f t="shared" si="49"/>
        <v>Unique ID</v>
      </c>
      <c r="V1047" t="str">
        <f t="shared" si="50"/>
        <v>No</v>
      </c>
    </row>
    <row r="1048" spans="1:22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>
        <f t="shared" si="48"/>
        <v>1</v>
      </c>
      <c r="R1048" t="str">
        <f t="shared" si="49"/>
        <v>Unique ID</v>
      </c>
      <c r="V1048" t="str">
        <f t="shared" si="50"/>
        <v>No</v>
      </c>
    </row>
    <row r="1049" spans="1:22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>
        <f t="shared" si="48"/>
        <v>1</v>
      </c>
      <c r="R1049" t="str">
        <f t="shared" si="49"/>
        <v>Unique ID</v>
      </c>
      <c r="V1049" t="str">
        <f t="shared" si="50"/>
        <v>No</v>
      </c>
    </row>
    <row r="1050" spans="1:22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>
        <f t="shared" si="48"/>
        <v>1</v>
      </c>
      <c r="R1050" t="str">
        <f t="shared" si="49"/>
        <v>Unique ID</v>
      </c>
      <c r="V1050" t="str">
        <f t="shared" si="50"/>
        <v>No</v>
      </c>
    </row>
    <row r="1051" spans="1:22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>
        <f t="shared" si="48"/>
        <v>1</v>
      </c>
      <c r="R1051" t="str">
        <f t="shared" si="49"/>
        <v>Unique ID</v>
      </c>
      <c r="V1051" t="str">
        <f t="shared" si="50"/>
        <v>No</v>
      </c>
    </row>
    <row r="1052" spans="1:22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>
        <f t="shared" si="48"/>
        <v>1</v>
      </c>
      <c r="R1052" t="str">
        <f t="shared" si="49"/>
        <v>Unique ID</v>
      </c>
      <c r="V1052" t="str">
        <f t="shared" si="50"/>
        <v>No</v>
      </c>
    </row>
    <row r="1053" spans="1:22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>
        <f t="shared" si="48"/>
        <v>1</v>
      </c>
      <c r="R1053" t="str">
        <f t="shared" si="49"/>
        <v>Unique ID</v>
      </c>
      <c r="V1053" t="str">
        <f t="shared" si="50"/>
        <v>No</v>
      </c>
    </row>
    <row r="1054" spans="1:22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>
        <f t="shared" si="48"/>
        <v>1</v>
      </c>
      <c r="R1054" t="str">
        <f t="shared" si="49"/>
        <v>Unique ID</v>
      </c>
      <c r="V1054" t="str">
        <f t="shared" si="50"/>
        <v>Yes</v>
      </c>
    </row>
    <row r="1055" spans="1:22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>
        <f t="shared" si="48"/>
        <v>1</v>
      </c>
      <c r="R1055" t="str">
        <f t="shared" si="49"/>
        <v>Unique ID</v>
      </c>
      <c r="V1055" t="str">
        <f t="shared" si="50"/>
        <v>No</v>
      </c>
    </row>
    <row r="1056" spans="1:22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>
        <f t="shared" si="48"/>
        <v>1</v>
      </c>
      <c r="R1056" t="str">
        <f t="shared" si="49"/>
        <v>Unique ID</v>
      </c>
      <c r="V1056" t="str">
        <f t="shared" si="50"/>
        <v>No</v>
      </c>
    </row>
    <row r="1057" spans="1:22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>
        <f t="shared" si="48"/>
        <v>1</v>
      </c>
      <c r="R1057" t="str">
        <f t="shared" si="49"/>
        <v>Unique ID</v>
      </c>
      <c r="V1057" t="str">
        <f t="shared" si="50"/>
        <v>No</v>
      </c>
    </row>
    <row r="1058" spans="1:22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>
        <f t="shared" si="48"/>
        <v>1</v>
      </c>
      <c r="R1058" t="str">
        <f t="shared" si="49"/>
        <v>Unique ID</v>
      </c>
      <c r="V1058" t="str">
        <f t="shared" si="50"/>
        <v>No</v>
      </c>
    </row>
    <row r="1059" spans="1:22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>
        <f t="shared" si="48"/>
        <v>1</v>
      </c>
      <c r="R1059" t="str">
        <f t="shared" si="49"/>
        <v>Unique ID</v>
      </c>
      <c r="V1059" t="str">
        <f t="shared" si="50"/>
        <v>No</v>
      </c>
    </row>
    <row r="1060" spans="1:22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>
        <f t="shared" si="48"/>
        <v>2</v>
      </c>
      <c r="R1060" t="str">
        <f t="shared" si="49"/>
        <v>Duplicate ID</v>
      </c>
      <c r="V1060" t="str">
        <f t="shared" si="50"/>
        <v>No</v>
      </c>
    </row>
    <row r="1061" spans="1:22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>
        <f t="shared" si="48"/>
        <v>1</v>
      </c>
      <c r="R1061" t="str">
        <f t="shared" si="49"/>
        <v>Unique ID</v>
      </c>
      <c r="V1061" t="str">
        <f t="shared" si="50"/>
        <v>No</v>
      </c>
    </row>
    <row r="1062" spans="1:22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>
        <f t="shared" si="48"/>
        <v>1</v>
      </c>
      <c r="R1062" t="str">
        <f t="shared" si="49"/>
        <v>Unique ID</v>
      </c>
      <c r="V1062" t="str">
        <f t="shared" si="50"/>
        <v>No</v>
      </c>
    </row>
    <row r="1063" spans="1:22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>
        <f t="shared" si="48"/>
        <v>1</v>
      </c>
      <c r="R1063" t="str">
        <f t="shared" si="49"/>
        <v>Unique ID</v>
      </c>
      <c r="V1063" t="str">
        <f t="shared" si="50"/>
        <v>Yes</v>
      </c>
    </row>
    <row r="1064" spans="1:22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>
        <f t="shared" si="48"/>
        <v>1</v>
      </c>
      <c r="R1064" t="str">
        <f t="shared" si="49"/>
        <v>Unique ID</v>
      </c>
      <c r="V1064" t="str">
        <f t="shared" si="50"/>
        <v>No</v>
      </c>
    </row>
    <row r="1065" spans="1:22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>
        <f t="shared" si="48"/>
        <v>1</v>
      </c>
      <c r="R1065" t="str">
        <f t="shared" si="49"/>
        <v>Unique ID</v>
      </c>
      <c r="V1065" t="str">
        <f t="shared" si="50"/>
        <v>No</v>
      </c>
    </row>
    <row r="1066" spans="1:22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>
        <f t="shared" si="48"/>
        <v>1</v>
      </c>
      <c r="R1066" t="str">
        <f t="shared" si="49"/>
        <v>Unique ID</v>
      </c>
      <c r="V1066" t="str">
        <f t="shared" si="50"/>
        <v>No</v>
      </c>
    </row>
    <row r="1067" spans="1:22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>
        <f t="shared" si="48"/>
        <v>1</v>
      </c>
      <c r="R1067" t="str">
        <f t="shared" si="49"/>
        <v>Unique ID</v>
      </c>
      <c r="V1067" t="str">
        <f t="shared" si="50"/>
        <v>No</v>
      </c>
    </row>
    <row r="1068" spans="1:22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>
        <f t="shared" si="48"/>
        <v>1</v>
      </c>
      <c r="R1068" t="str">
        <f t="shared" si="49"/>
        <v>Unique ID</v>
      </c>
      <c r="V1068" t="str">
        <f t="shared" si="50"/>
        <v>No</v>
      </c>
    </row>
    <row r="1069" spans="1:22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>
        <f t="shared" si="48"/>
        <v>1</v>
      </c>
      <c r="R1069" t="str">
        <f t="shared" si="49"/>
        <v>Unique ID</v>
      </c>
      <c r="V1069" t="str">
        <f t="shared" si="50"/>
        <v>No</v>
      </c>
    </row>
    <row r="1070" spans="1:22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>
        <f t="shared" si="48"/>
        <v>1</v>
      </c>
      <c r="R1070" t="str">
        <f t="shared" si="49"/>
        <v>Unique ID</v>
      </c>
      <c r="V1070" t="str">
        <f t="shared" si="50"/>
        <v>No</v>
      </c>
    </row>
    <row r="1071" spans="1:22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>
        <f t="shared" si="48"/>
        <v>1</v>
      </c>
      <c r="R1071" t="str">
        <f t="shared" si="49"/>
        <v>Unique ID</v>
      </c>
      <c r="V1071" t="str">
        <f t="shared" si="50"/>
        <v>No</v>
      </c>
    </row>
    <row r="1072" spans="1:22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>
        <f t="shared" si="48"/>
        <v>1</v>
      </c>
      <c r="R1072" t="str">
        <f t="shared" si="49"/>
        <v>Unique ID</v>
      </c>
      <c r="V1072" t="str">
        <f t="shared" si="50"/>
        <v>No</v>
      </c>
    </row>
    <row r="1073" spans="1:22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>
        <f t="shared" si="48"/>
        <v>1</v>
      </c>
      <c r="R1073" t="str">
        <f t="shared" si="49"/>
        <v>Unique ID</v>
      </c>
      <c r="V1073" t="str">
        <f t="shared" si="50"/>
        <v>No</v>
      </c>
    </row>
    <row r="1074" spans="1:22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>
        <f t="shared" si="48"/>
        <v>1</v>
      </c>
      <c r="R1074" t="str">
        <f t="shared" si="49"/>
        <v>Unique ID</v>
      </c>
      <c r="V1074" t="str">
        <f t="shared" si="50"/>
        <v>No</v>
      </c>
    </row>
    <row r="1075" spans="1:22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>
        <f t="shared" si="48"/>
        <v>1</v>
      </c>
      <c r="R1075" t="str">
        <f t="shared" si="49"/>
        <v>Unique ID</v>
      </c>
      <c r="V1075" t="str">
        <f t="shared" si="50"/>
        <v>Yes</v>
      </c>
    </row>
    <row r="1076" spans="1:22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>
        <f t="shared" si="48"/>
        <v>1</v>
      </c>
      <c r="R1076" t="str">
        <f t="shared" si="49"/>
        <v>Unique ID</v>
      </c>
      <c r="V1076" t="str">
        <f t="shared" si="50"/>
        <v>No</v>
      </c>
    </row>
    <row r="1077" spans="1:22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>
        <f t="shared" si="48"/>
        <v>1</v>
      </c>
      <c r="R1077" t="str">
        <f t="shared" si="49"/>
        <v>Unique ID</v>
      </c>
      <c r="V1077" t="str">
        <f t="shared" si="50"/>
        <v>No</v>
      </c>
    </row>
    <row r="1078" spans="1:22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>
        <f t="shared" si="48"/>
        <v>1</v>
      </c>
      <c r="R1078" t="str">
        <f t="shared" si="49"/>
        <v>Unique ID</v>
      </c>
      <c r="V1078" t="str">
        <f t="shared" si="50"/>
        <v>Yes</v>
      </c>
    </row>
    <row r="1079" spans="1:22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>
        <f t="shared" si="48"/>
        <v>1</v>
      </c>
      <c r="R1079" t="str">
        <f t="shared" si="49"/>
        <v>Unique ID</v>
      </c>
      <c r="V1079" t="str">
        <f t="shared" si="50"/>
        <v>Yes</v>
      </c>
    </row>
    <row r="1080" spans="1:22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>
        <f t="shared" si="48"/>
        <v>1</v>
      </c>
      <c r="R1080" t="str">
        <f t="shared" si="49"/>
        <v>Unique ID</v>
      </c>
      <c r="V1080" t="str">
        <f t="shared" si="50"/>
        <v>No</v>
      </c>
    </row>
    <row r="1081" spans="1:22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>
        <f t="shared" si="48"/>
        <v>1</v>
      </c>
      <c r="R1081" t="str">
        <f t="shared" si="49"/>
        <v>Unique ID</v>
      </c>
      <c r="V1081" t="str">
        <f t="shared" si="50"/>
        <v>No</v>
      </c>
    </row>
    <row r="1082" spans="1:22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>
        <f t="shared" si="48"/>
        <v>1</v>
      </c>
      <c r="R1082" t="str">
        <f t="shared" si="49"/>
        <v>Unique ID</v>
      </c>
      <c r="V1082" t="str">
        <f t="shared" si="50"/>
        <v>No</v>
      </c>
    </row>
    <row r="1083" spans="1:22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>
        <f t="shared" si="48"/>
        <v>1</v>
      </c>
      <c r="R1083" t="str">
        <f t="shared" si="49"/>
        <v>Unique ID</v>
      </c>
      <c r="V1083" t="str">
        <f t="shared" si="50"/>
        <v>No</v>
      </c>
    </row>
    <row r="1084" spans="1:22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>
        <f t="shared" si="48"/>
        <v>1</v>
      </c>
      <c r="R1084" t="str">
        <f t="shared" si="49"/>
        <v>Unique ID</v>
      </c>
      <c r="V1084" t="str">
        <f t="shared" si="50"/>
        <v>No</v>
      </c>
    </row>
    <row r="1085" spans="1:22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>
        <f t="shared" si="48"/>
        <v>1</v>
      </c>
      <c r="R1085" t="str">
        <f t="shared" si="49"/>
        <v>Unique ID</v>
      </c>
      <c r="V1085" t="str">
        <f t="shared" si="50"/>
        <v>No</v>
      </c>
    </row>
    <row r="1086" spans="1:22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>
        <f t="shared" si="48"/>
        <v>1</v>
      </c>
      <c r="R1086" t="str">
        <f t="shared" si="49"/>
        <v>Unique ID</v>
      </c>
      <c r="V1086" t="str">
        <f t="shared" si="50"/>
        <v>No</v>
      </c>
    </row>
    <row r="1087" spans="1:22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>
        <f t="shared" si="48"/>
        <v>1</v>
      </c>
      <c r="R1087" t="str">
        <f t="shared" si="49"/>
        <v>Unique ID</v>
      </c>
      <c r="V1087" t="str">
        <f t="shared" si="50"/>
        <v>No</v>
      </c>
    </row>
    <row r="1088" spans="1:22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>
        <f t="shared" si="48"/>
        <v>1</v>
      </c>
      <c r="R1088" t="str">
        <f t="shared" si="49"/>
        <v>Unique ID</v>
      </c>
      <c r="V1088" t="str">
        <f t="shared" si="50"/>
        <v>No</v>
      </c>
    </row>
    <row r="1089" spans="1:22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>
        <f t="shared" si="48"/>
        <v>1</v>
      </c>
      <c r="R1089" t="str">
        <f t="shared" si="49"/>
        <v>Unique ID</v>
      </c>
      <c r="V1089" t="str">
        <f t="shared" si="50"/>
        <v>No</v>
      </c>
    </row>
    <row r="1090" spans="1:22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>
        <f t="shared" si="48"/>
        <v>1</v>
      </c>
      <c r="R1090" t="str">
        <f t="shared" si="49"/>
        <v>Unique ID</v>
      </c>
      <c r="V1090" t="str">
        <f t="shared" si="50"/>
        <v>No</v>
      </c>
    </row>
    <row r="1091" spans="1:22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>
        <f t="shared" ref="Q1091:Q1154" si="51">COUNTIF($A:$A,A1091)</f>
        <v>1</v>
      </c>
      <c r="R1091" t="str">
        <f t="shared" ref="R1091:R1154" si="52">IF(Q1091&gt;1,"Duplicate ID","Unique ID")</f>
        <v>Unique ID</v>
      </c>
      <c r="V1091" t="str">
        <f t="shared" ref="V1091:V1154" si="53">IF(OR(L1091&lt;$U$5,L1091&gt;$U$6),"Yes","No")</f>
        <v>No</v>
      </c>
    </row>
    <row r="1092" spans="1:22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>
        <f t="shared" si="51"/>
        <v>1</v>
      </c>
      <c r="R1092" t="str">
        <f t="shared" si="52"/>
        <v>Unique ID</v>
      </c>
      <c r="V1092" t="str">
        <f t="shared" si="53"/>
        <v>No</v>
      </c>
    </row>
    <row r="1093" spans="1:22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>
        <f t="shared" si="51"/>
        <v>1</v>
      </c>
      <c r="R1093" t="str">
        <f t="shared" si="52"/>
        <v>Unique ID</v>
      </c>
      <c r="V1093" t="str">
        <f t="shared" si="53"/>
        <v>No</v>
      </c>
    </row>
    <row r="1094" spans="1:22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>
        <f t="shared" si="51"/>
        <v>1</v>
      </c>
      <c r="R1094" t="str">
        <f t="shared" si="52"/>
        <v>Unique ID</v>
      </c>
      <c r="V1094" t="str">
        <f t="shared" si="53"/>
        <v>No</v>
      </c>
    </row>
    <row r="1095" spans="1:22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>
        <f t="shared" si="51"/>
        <v>1</v>
      </c>
      <c r="R1095" t="str">
        <f t="shared" si="52"/>
        <v>Unique ID</v>
      </c>
      <c r="V1095" t="str">
        <f t="shared" si="53"/>
        <v>No</v>
      </c>
    </row>
    <row r="1096" spans="1:22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>
        <f t="shared" si="51"/>
        <v>1</v>
      </c>
      <c r="R1096" t="str">
        <f t="shared" si="52"/>
        <v>Unique ID</v>
      </c>
      <c r="V1096" t="str">
        <f t="shared" si="53"/>
        <v>No</v>
      </c>
    </row>
    <row r="1097" spans="1:22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>
        <f t="shared" si="51"/>
        <v>1</v>
      </c>
      <c r="R1097" t="str">
        <f t="shared" si="52"/>
        <v>Unique ID</v>
      </c>
      <c r="V1097" t="str">
        <f t="shared" si="53"/>
        <v>No</v>
      </c>
    </row>
    <row r="1098" spans="1:22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>
        <f t="shared" si="51"/>
        <v>1</v>
      </c>
      <c r="R1098" t="str">
        <f t="shared" si="52"/>
        <v>Unique ID</v>
      </c>
      <c r="V1098" t="str">
        <f t="shared" si="53"/>
        <v>No</v>
      </c>
    </row>
    <row r="1099" spans="1:22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>
        <f t="shared" si="51"/>
        <v>1</v>
      </c>
      <c r="R1099" t="str">
        <f t="shared" si="52"/>
        <v>Unique ID</v>
      </c>
      <c r="V1099" t="str">
        <f t="shared" si="53"/>
        <v>No</v>
      </c>
    </row>
    <row r="1100" spans="1:22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>
        <f t="shared" si="51"/>
        <v>1</v>
      </c>
      <c r="R1100" t="str">
        <f t="shared" si="52"/>
        <v>Unique ID</v>
      </c>
      <c r="V1100" t="str">
        <f t="shared" si="53"/>
        <v>No</v>
      </c>
    </row>
    <row r="1101" spans="1:22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>
        <f t="shared" si="51"/>
        <v>1</v>
      </c>
      <c r="R1101" t="str">
        <f t="shared" si="52"/>
        <v>Unique ID</v>
      </c>
      <c r="V1101" t="str">
        <f t="shared" si="53"/>
        <v>No</v>
      </c>
    </row>
    <row r="1102" spans="1:22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>
        <f t="shared" si="51"/>
        <v>1</v>
      </c>
      <c r="R1102" t="str">
        <f t="shared" si="52"/>
        <v>Unique ID</v>
      </c>
      <c r="V1102" t="str">
        <f t="shared" si="53"/>
        <v>No</v>
      </c>
    </row>
    <row r="1103" spans="1:22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>
        <f t="shared" si="51"/>
        <v>1</v>
      </c>
      <c r="R1103" t="str">
        <f t="shared" si="52"/>
        <v>Unique ID</v>
      </c>
      <c r="V1103" t="str">
        <f t="shared" si="53"/>
        <v>No</v>
      </c>
    </row>
    <row r="1104" spans="1:22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>
        <f t="shared" si="51"/>
        <v>1</v>
      </c>
      <c r="R1104" t="str">
        <f t="shared" si="52"/>
        <v>Unique ID</v>
      </c>
      <c r="V1104" t="str">
        <f t="shared" si="53"/>
        <v>No</v>
      </c>
    </row>
    <row r="1105" spans="1:22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>
        <f t="shared" si="51"/>
        <v>1</v>
      </c>
      <c r="R1105" t="str">
        <f t="shared" si="52"/>
        <v>Unique ID</v>
      </c>
      <c r="V1105" t="str">
        <f t="shared" si="53"/>
        <v>No</v>
      </c>
    </row>
    <row r="1106" spans="1:22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>
        <f t="shared" si="51"/>
        <v>1</v>
      </c>
      <c r="R1106" t="str">
        <f t="shared" si="52"/>
        <v>Unique ID</v>
      </c>
      <c r="V1106" t="str">
        <f t="shared" si="53"/>
        <v>No</v>
      </c>
    </row>
    <row r="1107" spans="1:22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>
        <f t="shared" si="51"/>
        <v>1</v>
      </c>
      <c r="R1107" t="str">
        <f t="shared" si="52"/>
        <v>Unique ID</v>
      </c>
      <c r="V1107" t="str">
        <f t="shared" si="53"/>
        <v>No</v>
      </c>
    </row>
    <row r="1108" spans="1:22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>
        <f t="shared" si="51"/>
        <v>1</v>
      </c>
      <c r="R1108" t="str">
        <f t="shared" si="52"/>
        <v>Unique ID</v>
      </c>
      <c r="V1108" t="str">
        <f t="shared" si="53"/>
        <v>No</v>
      </c>
    </row>
    <row r="1109" spans="1:22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>
        <f t="shared" si="51"/>
        <v>1</v>
      </c>
      <c r="R1109" t="str">
        <f t="shared" si="52"/>
        <v>Unique ID</v>
      </c>
      <c r="V1109" t="str">
        <f t="shared" si="53"/>
        <v>No</v>
      </c>
    </row>
    <row r="1110" spans="1:22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>
        <f t="shared" si="51"/>
        <v>1</v>
      </c>
      <c r="R1110" t="str">
        <f t="shared" si="52"/>
        <v>Unique ID</v>
      </c>
      <c r="V1110" t="str">
        <f t="shared" si="53"/>
        <v>No</v>
      </c>
    </row>
    <row r="1111" spans="1:22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>
        <f t="shared" si="51"/>
        <v>1</v>
      </c>
      <c r="R1111" t="str">
        <f t="shared" si="52"/>
        <v>Unique ID</v>
      </c>
      <c r="V1111" t="str">
        <f t="shared" si="53"/>
        <v>No</v>
      </c>
    </row>
    <row r="1112" spans="1:22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>
        <f t="shared" si="51"/>
        <v>1</v>
      </c>
      <c r="R1112" t="str">
        <f t="shared" si="52"/>
        <v>Unique ID</v>
      </c>
      <c r="V1112" t="str">
        <f t="shared" si="53"/>
        <v>No</v>
      </c>
    </row>
    <row r="1113" spans="1:22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>
        <f t="shared" si="51"/>
        <v>1</v>
      </c>
      <c r="R1113" t="str">
        <f t="shared" si="52"/>
        <v>Unique ID</v>
      </c>
      <c r="V1113" t="str">
        <f t="shared" si="53"/>
        <v>No</v>
      </c>
    </row>
    <row r="1114" spans="1:22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>
        <f t="shared" si="51"/>
        <v>1</v>
      </c>
      <c r="R1114" t="str">
        <f t="shared" si="52"/>
        <v>Unique ID</v>
      </c>
      <c r="V1114" t="str">
        <f t="shared" si="53"/>
        <v>No</v>
      </c>
    </row>
    <row r="1115" spans="1:22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>
        <f t="shared" si="51"/>
        <v>1</v>
      </c>
      <c r="R1115" t="str">
        <f t="shared" si="52"/>
        <v>Unique ID</v>
      </c>
      <c r="V1115" t="str">
        <f t="shared" si="53"/>
        <v>Yes</v>
      </c>
    </row>
    <row r="1116" spans="1:22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>
        <f t="shared" si="51"/>
        <v>1</v>
      </c>
      <c r="R1116" t="str">
        <f t="shared" si="52"/>
        <v>Unique ID</v>
      </c>
      <c r="V1116" t="str">
        <f t="shared" si="53"/>
        <v>No</v>
      </c>
    </row>
    <row r="1117" spans="1:22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>
        <f t="shared" si="51"/>
        <v>1</v>
      </c>
      <c r="R1117" t="str">
        <f t="shared" si="52"/>
        <v>Unique ID</v>
      </c>
      <c r="V1117" t="str">
        <f t="shared" si="53"/>
        <v>No</v>
      </c>
    </row>
    <row r="1118" spans="1:22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>
        <f t="shared" si="51"/>
        <v>1</v>
      </c>
      <c r="R1118" t="str">
        <f t="shared" si="52"/>
        <v>Unique ID</v>
      </c>
      <c r="V1118" t="str">
        <f t="shared" si="53"/>
        <v>No</v>
      </c>
    </row>
    <row r="1119" spans="1:22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>
        <f t="shared" si="51"/>
        <v>1</v>
      </c>
      <c r="R1119" t="str">
        <f t="shared" si="52"/>
        <v>Unique ID</v>
      </c>
      <c r="V1119" t="str">
        <f t="shared" si="53"/>
        <v>No</v>
      </c>
    </row>
    <row r="1120" spans="1:22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>
        <f t="shared" si="51"/>
        <v>1</v>
      </c>
      <c r="R1120" t="str">
        <f t="shared" si="52"/>
        <v>Unique ID</v>
      </c>
      <c r="V1120" t="str">
        <f t="shared" si="53"/>
        <v>No</v>
      </c>
    </row>
    <row r="1121" spans="1:22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>
        <f t="shared" si="51"/>
        <v>1</v>
      </c>
      <c r="R1121" t="str">
        <f t="shared" si="52"/>
        <v>Unique ID</v>
      </c>
      <c r="V1121" t="str">
        <f t="shared" si="53"/>
        <v>No</v>
      </c>
    </row>
    <row r="1122" spans="1:22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>
        <f t="shared" si="51"/>
        <v>1</v>
      </c>
      <c r="R1122" t="str">
        <f t="shared" si="52"/>
        <v>Unique ID</v>
      </c>
      <c r="V1122" t="str">
        <f t="shared" si="53"/>
        <v>No</v>
      </c>
    </row>
    <row r="1123" spans="1:22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>
        <f t="shared" si="51"/>
        <v>1</v>
      </c>
      <c r="R1123" t="str">
        <f t="shared" si="52"/>
        <v>Unique ID</v>
      </c>
      <c r="V1123" t="str">
        <f t="shared" si="53"/>
        <v>No</v>
      </c>
    </row>
    <row r="1124" spans="1:22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>
        <f t="shared" si="51"/>
        <v>1</v>
      </c>
      <c r="R1124" t="str">
        <f t="shared" si="52"/>
        <v>Unique ID</v>
      </c>
      <c r="V1124" t="str">
        <f t="shared" si="53"/>
        <v>No</v>
      </c>
    </row>
    <row r="1125" spans="1:22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>
        <f t="shared" si="51"/>
        <v>1</v>
      </c>
      <c r="R1125" t="str">
        <f t="shared" si="52"/>
        <v>Unique ID</v>
      </c>
      <c r="V1125" t="str">
        <f t="shared" si="53"/>
        <v>No</v>
      </c>
    </row>
    <row r="1126" spans="1:22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>
        <f t="shared" si="51"/>
        <v>1</v>
      </c>
      <c r="R1126" t="str">
        <f t="shared" si="52"/>
        <v>Unique ID</v>
      </c>
      <c r="V1126" t="str">
        <f t="shared" si="53"/>
        <v>No</v>
      </c>
    </row>
    <row r="1127" spans="1:22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>
        <f t="shared" si="51"/>
        <v>1</v>
      </c>
      <c r="R1127" t="str">
        <f t="shared" si="52"/>
        <v>Unique ID</v>
      </c>
      <c r="V1127" t="str">
        <f t="shared" si="53"/>
        <v>No</v>
      </c>
    </row>
    <row r="1128" spans="1:22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>
        <f t="shared" si="51"/>
        <v>1</v>
      </c>
      <c r="R1128" t="str">
        <f t="shared" si="52"/>
        <v>Unique ID</v>
      </c>
      <c r="V1128" t="str">
        <f t="shared" si="53"/>
        <v>No</v>
      </c>
    </row>
    <row r="1129" spans="1:22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>
        <f t="shared" si="51"/>
        <v>1</v>
      </c>
      <c r="R1129" t="str">
        <f t="shared" si="52"/>
        <v>Unique ID</v>
      </c>
      <c r="V1129" t="str">
        <f t="shared" si="53"/>
        <v>No</v>
      </c>
    </row>
    <row r="1130" spans="1:22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>
        <f t="shared" si="51"/>
        <v>1</v>
      </c>
      <c r="R1130" t="str">
        <f t="shared" si="52"/>
        <v>Unique ID</v>
      </c>
      <c r="V1130" t="str">
        <f t="shared" si="53"/>
        <v>No</v>
      </c>
    </row>
    <row r="1131" spans="1:22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>
        <f t="shared" si="51"/>
        <v>1</v>
      </c>
      <c r="R1131" t="str">
        <f t="shared" si="52"/>
        <v>Unique ID</v>
      </c>
      <c r="V1131" t="str">
        <f t="shared" si="53"/>
        <v>No</v>
      </c>
    </row>
    <row r="1132" spans="1:22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>
        <f t="shared" si="51"/>
        <v>1</v>
      </c>
      <c r="R1132" t="str">
        <f t="shared" si="52"/>
        <v>Unique ID</v>
      </c>
      <c r="V1132" t="str">
        <f t="shared" si="53"/>
        <v>No</v>
      </c>
    </row>
    <row r="1133" spans="1:22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>
        <f t="shared" si="51"/>
        <v>1</v>
      </c>
      <c r="R1133" t="str">
        <f t="shared" si="52"/>
        <v>Unique ID</v>
      </c>
      <c r="V1133" t="str">
        <f t="shared" si="53"/>
        <v>No</v>
      </c>
    </row>
    <row r="1134" spans="1:22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>
        <f t="shared" si="51"/>
        <v>1</v>
      </c>
      <c r="R1134" t="str">
        <f t="shared" si="52"/>
        <v>Unique ID</v>
      </c>
      <c r="V1134" t="str">
        <f t="shared" si="53"/>
        <v>No</v>
      </c>
    </row>
    <row r="1135" spans="1:22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>
        <f t="shared" si="51"/>
        <v>1</v>
      </c>
      <c r="R1135" t="str">
        <f t="shared" si="52"/>
        <v>Unique ID</v>
      </c>
      <c r="V1135" t="str">
        <f t="shared" si="53"/>
        <v>No</v>
      </c>
    </row>
    <row r="1136" spans="1:22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>
        <f t="shared" si="51"/>
        <v>1</v>
      </c>
      <c r="R1136" t="str">
        <f t="shared" si="52"/>
        <v>Unique ID</v>
      </c>
      <c r="V1136" t="str">
        <f t="shared" si="53"/>
        <v>No</v>
      </c>
    </row>
    <row r="1137" spans="1:22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>
        <f t="shared" si="51"/>
        <v>1</v>
      </c>
      <c r="R1137" t="str">
        <f t="shared" si="52"/>
        <v>Unique ID</v>
      </c>
      <c r="V1137" t="str">
        <f t="shared" si="53"/>
        <v>No</v>
      </c>
    </row>
    <row r="1138" spans="1:22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>
        <f t="shared" si="51"/>
        <v>1</v>
      </c>
      <c r="R1138" t="str">
        <f t="shared" si="52"/>
        <v>Unique ID</v>
      </c>
      <c r="V1138" t="str">
        <f t="shared" si="53"/>
        <v>No</v>
      </c>
    </row>
    <row r="1139" spans="1:22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>
        <f t="shared" si="51"/>
        <v>1</v>
      </c>
      <c r="R1139" t="str">
        <f t="shared" si="52"/>
        <v>Unique ID</v>
      </c>
      <c r="V1139" t="str">
        <f t="shared" si="53"/>
        <v>No</v>
      </c>
    </row>
    <row r="1140" spans="1:22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>
        <f t="shared" si="51"/>
        <v>1</v>
      </c>
      <c r="R1140" t="str">
        <f t="shared" si="52"/>
        <v>Unique ID</v>
      </c>
      <c r="V1140" t="str">
        <f t="shared" si="53"/>
        <v>No</v>
      </c>
    </row>
    <row r="1141" spans="1:22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>
        <f t="shared" si="51"/>
        <v>1</v>
      </c>
      <c r="R1141" t="str">
        <f t="shared" si="52"/>
        <v>Unique ID</v>
      </c>
      <c r="V1141" t="str">
        <f t="shared" si="53"/>
        <v>No</v>
      </c>
    </row>
    <row r="1142" spans="1:22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>
        <f t="shared" si="51"/>
        <v>1</v>
      </c>
      <c r="R1142" t="str">
        <f t="shared" si="52"/>
        <v>Unique ID</v>
      </c>
      <c r="V1142" t="str">
        <f t="shared" si="53"/>
        <v>No</v>
      </c>
    </row>
    <row r="1143" spans="1:22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>
        <f t="shared" si="51"/>
        <v>1</v>
      </c>
      <c r="R1143" t="str">
        <f t="shared" si="52"/>
        <v>Unique ID</v>
      </c>
      <c r="V1143" t="str">
        <f t="shared" si="53"/>
        <v>Yes</v>
      </c>
    </row>
    <row r="1144" spans="1:22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>
        <f t="shared" si="51"/>
        <v>1</v>
      </c>
      <c r="R1144" t="str">
        <f t="shared" si="52"/>
        <v>Unique ID</v>
      </c>
      <c r="V1144" t="str">
        <f t="shared" si="53"/>
        <v>No</v>
      </c>
    </row>
    <row r="1145" spans="1:22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>
        <f t="shared" si="51"/>
        <v>1</v>
      </c>
      <c r="R1145" t="str">
        <f t="shared" si="52"/>
        <v>Unique ID</v>
      </c>
      <c r="V1145" t="str">
        <f t="shared" si="53"/>
        <v>No</v>
      </c>
    </row>
    <row r="1146" spans="1:22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>
        <f t="shared" si="51"/>
        <v>1</v>
      </c>
      <c r="R1146" t="str">
        <f t="shared" si="52"/>
        <v>Unique ID</v>
      </c>
      <c r="V1146" t="str">
        <f t="shared" si="53"/>
        <v>Yes</v>
      </c>
    </row>
    <row r="1147" spans="1:22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>
        <f t="shared" si="51"/>
        <v>1</v>
      </c>
      <c r="R1147" t="str">
        <f t="shared" si="52"/>
        <v>Unique ID</v>
      </c>
      <c r="V1147" t="str">
        <f t="shared" si="53"/>
        <v>No</v>
      </c>
    </row>
    <row r="1148" spans="1:22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>
        <f t="shared" si="51"/>
        <v>1</v>
      </c>
      <c r="R1148" t="str">
        <f t="shared" si="52"/>
        <v>Unique ID</v>
      </c>
      <c r="V1148" t="str">
        <f t="shared" si="53"/>
        <v>Yes</v>
      </c>
    </row>
    <row r="1149" spans="1:22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>
        <f t="shared" si="51"/>
        <v>1</v>
      </c>
      <c r="R1149" t="str">
        <f t="shared" si="52"/>
        <v>Unique ID</v>
      </c>
      <c r="V1149" t="str">
        <f t="shared" si="53"/>
        <v>No</v>
      </c>
    </row>
    <row r="1150" spans="1:22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>
        <f t="shared" si="51"/>
        <v>1</v>
      </c>
      <c r="R1150" t="str">
        <f t="shared" si="52"/>
        <v>Unique ID</v>
      </c>
      <c r="V1150" t="str">
        <f t="shared" si="53"/>
        <v>No</v>
      </c>
    </row>
    <row r="1151" spans="1:22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>
        <f t="shared" si="51"/>
        <v>1</v>
      </c>
      <c r="R1151" t="str">
        <f t="shared" si="52"/>
        <v>Unique ID</v>
      </c>
      <c r="V1151" t="str">
        <f t="shared" si="53"/>
        <v>No</v>
      </c>
    </row>
    <row r="1152" spans="1:22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>
        <f t="shared" si="51"/>
        <v>1</v>
      </c>
      <c r="R1152" t="str">
        <f t="shared" si="52"/>
        <v>Unique ID</v>
      </c>
      <c r="V1152" t="str">
        <f t="shared" si="53"/>
        <v>No</v>
      </c>
    </row>
    <row r="1153" spans="1:22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>
        <f t="shared" si="51"/>
        <v>1</v>
      </c>
      <c r="R1153" t="str">
        <f t="shared" si="52"/>
        <v>Unique ID</v>
      </c>
      <c r="V1153" t="str">
        <f t="shared" si="53"/>
        <v>No</v>
      </c>
    </row>
    <row r="1154" spans="1:22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>
        <f t="shared" si="51"/>
        <v>1</v>
      </c>
      <c r="R1154" t="str">
        <f t="shared" si="52"/>
        <v>Unique ID</v>
      </c>
      <c r="V1154" t="str">
        <f t="shared" si="53"/>
        <v>No</v>
      </c>
    </row>
    <row r="1155" spans="1:22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>
        <f t="shared" ref="Q1155:Q1218" si="54">COUNTIF($A:$A,A1155)</f>
        <v>1</v>
      </c>
      <c r="R1155" t="str">
        <f t="shared" ref="R1155:R1218" si="55">IF(Q1155&gt;1,"Duplicate ID","Unique ID")</f>
        <v>Unique ID</v>
      </c>
      <c r="V1155" t="str">
        <f t="shared" ref="V1155:V1218" si="56">IF(OR(L1155&lt;$U$5,L1155&gt;$U$6),"Yes","No")</f>
        <v>No</v>
      </c>
    </row>
    <row r="1156" spans="1:22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>
        <f t="shared" si="54"/>
        <v>1</v>
      </c>
      <c r="R1156" t="str">
        <f t="shared" si="55"/>
        <v>Unique ID</v>
      </c>
      <c r="V1156" t="str">
        <f t="shared" si="56"/>
        <v>No</v>
      </c>
    </row>
    <row r="1157" spans="1:22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>
        <f t="shared" si="54"/>
        <v>1</v>
      </c>
      <c r="R1157" t="str">
        <f t="shared" si="55"/>
        <v>Unique ID</v>
      </c>
      <c r="V1157" t="str">
        <f t="shared" si="56"/>
        <v>No</v>
      </c>
    </row>
    <row r="1158" spans="1:22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>
        <f t="shared" si="54"/>
        <v>1</v>
      </c>
      <c r="R1158" t="str">
        <f t="shared" si="55"/>
        <v>Unique ID</v>
      </c>
      <c r="V1158" t="str">
        <f t="shared" si="56"/>
        <v>No</v>
      </c>
    </row>
    <row r="1159" spans="1:22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>
        <f t="shared" si="54"/>
        <v>1</v>
      </c>
      <c r="R1159" t="str">
        <f t="shared" si="55"/>
        <v>Unique ID</v>
      </c>
      <c r="V1159" t="str">
        <f t="shared" si="56"/>
        <v>No</v>
      </c>
    </row>
    <row r="1160" spans="1:22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>
        <f t="shared" si="54"/>
        <v>1</v>
      </c>
      <c r="R1160" t="str">
        <f t="shared" si="55"/>
        <v>Unique ID</v>
      </c>
      <c r="V1160" t="str">
        <f t="shared" si="56"/>
        <v>No</v>
      </c>
    </row>
    <row r="1161" spans="1:22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>
        <f t="shared" si="54"/>
        <v>1</v>
      </c>
      <c r="R1161" t="str">
        <f t="shared" si="55"/>
        <v>Unique ID</v>
      </c>
      <c r="V1161" t="str">
        <f t="shared" si="56"/>
        <v>No</v>
      </c>
    </row>
    <row r="1162" spans="1:22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>
        <f t="shared" si="54"/>
        <v>1</v>
      </c>
      <c r="R1162" t="str">
        <f t="shared" si="55"/>
        <v>Unique ID</v>
      </c>
      <c r="V1162" t="str">
        <f t="shared" si="56"/>
        <v>No</v>
      </c>
    </row>
    <row r="1163" spans="1:22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>
        <f t="shared" si="54"/>
        <v>1</v>
      </c>
      <c r="R1163" t="str">
        <f t="shared" si="55"/>
        <v>Unique ID</v>
      </c>
      <c r="V1163" t="str">
        <f t="shared" si="56"/>
        <v>No</v>
      </c>
    </row>
    <row r="1164" spans="1:22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>
        <f t="shared" si="54"/>
        <v>1</v>
      </c>
      <c r="R1164" t="str">
        <f t="shared" si="55"/>
        <v>Unique ID</v>
      </c>
      <c r="V1164" t="str">
        <f t="shared" si="56"/>
        <v>No</v>
      </c>
    </row>
    <row r="1165" spans="1:22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>
        <f t="shared" si="54"/>
        <v>1</v>
      </c>
      <c r="R1165" t="str">
        <f t="shared" si="55"/>
        <v>Unique ID</v>
      </c>
      <c r="V1165" t="str">
        <f t="shared" si="56"/>
        <v>No</v>
      </c>
    </row>
    <row r="1166" spans="1:22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>
        <f t="shared" si="54"/>
        <v>1</v>
      </c>
      <c r="R1166" t="str">
        <f t="shared" si="55"/>
        <v>Unique ID</v>
      </c>
      <c r="V1166" t="str">
        <f t="shared" si="56"/>
        <v>No</v>
      </c>
    </row>
    <row r="1167" spans="1:22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>
        <f t="shared" si="54"/>
        <v>1</v>
      </c>
      <c r="R1167" t="str">
        <f t="shared" si="55"/>
        <v>Unique ID</v>
      </c>
      <c r="V1167" t="str">
        <f t="shared" si="56"/>
        <v>No</v>
      </c>
    </row>
    <row r="1168" spans="1:22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>
        <f t="shared" si="54"/>
        <v>1</v>
      </c>
      <c r="R1168" t="str">
        <f t="shared" si="55"/>
        <v>Unique ID</v>
      </c>
      <c r="V1168" t="str">
        <f t="shared" si="56"/>
        <v>No</v>
      </c>
    </row>
    <row r="1169" spans="1:22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>
        <f t="shared" si="54"/>
        <v>1</v>
      </c>
      <c r="R1169" t="str">
        <f t="shared" si="55"/>
        <v>Unique ID</v>
      </c>
      <c r="V1169" t="str">
        <f t="shared" si="56"/>
        <v>Yes</v>
      </c>
    </row>
    <row r="1170" spans="1:22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>
        <f t="shared" si="54"/>
        <v>1</v>
      </c>
      <c r="R1170" t="str">
        <f t="shared" si="55"/>
        <v>Unique ID</v>
      </c>
      <c r="V1170" t="str">
        <f t="shared" si="56"/>
        <v>No</v>
      </c>
    </row>
    <row r="1171" spans="1:22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>
        <f t="shared" si="54"/>
        <v>1</v>
      </c>
      <c r="R1171" t="str">
        <f t="shared" si="55"/>
        <v>Unique ID</v>
      </c>
      <c r="V1171" t="str">
        <f t="shared" si="56"/>
        <v>No</v>
      </c>
    </row>
    <row r="1172" spans="1:22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>
        <f t="shared" si="54"/>
        <v>1</v>
      </c>
      <c r="R1172" t="str">
        <f t="shared" si="55"/>
        <v>Unique ID</v>
      </c>
      <c r="V1172" t="str">
        <f t="shared" si="56"/>
        <v>No</v>
      </c>
    </row>
    <row r="1173" spans="1:22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>
        <f t="shared" si="54"/>
        <v>1</v>
      </c>
      <c r="R1173" t="str">
        <f t="shared" si="55"/>
        <v>Unique ID</v>
      </c>
      <c r="V1173" t="str">
        <f t="shared" si="56"/>
        <v>No</v>
      </c>
    </row>
    <row r="1174" spans="1:22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>
        <f t="shared" si="54"/>
        <v>1</v>
      </c>
      <c r="R1174" t="str">
        <f t="shared" si="55"/>
        <v>Unique ID</v>
      </c>
      <c r="V1174" t="str">
        <f t="shared" si="56"/>
        <v>No</v>
      </c>
    </row>
    <row r="1175" spans="1:22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>
        <f t="shared" si="54"/>
        <v>1</v>
      </c>
      <c r="R1175" t="str">
        <f t="shared" si="55"/>
        <v>Unique ID</v>
      </c>
      <c r="V1175" t="str">
        <f t="shared" si="56"/>
        <v>No</v>
      </c>
    </row>
    <row r="1176" spans="1:22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>
        <f t="shared" si="54"/>
        <v>1</v>
      </c>
      <c r="R1176" t="str">
        <f t="shared" si="55"/>
        <v>Unique ID</v>
      </c>
      <c r="V1176" t="str">
        <f t="shared" si="56"/>
        <v>No</v>
      </c>
    </row>
    <row r="1177" spans="1:22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>
        <f t="shared" si="54"/>
        <v>1</v>
      </c>
      <c r="R1177" t="str">
        <f t="shared" si="55"/>
        <v>Unique ID</v>
      </c>
      <c r="V1177" t="str">
        <f t="shared" si="56"/>
        <v>No</v>
      </c>
    </row>
    <row r="1178" spans="1:22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>
        <f t="shared" si="54"/>
        <v>1</v>
      </c>
      <c r="R1178" t="str">
        <f t="shared" si="55"/>
        <v>Unique ID</v>
      </c>
      <c r="V1178" t="str">
        <f t="shared" si="56"/>
        <v>No</v>
      </c>
    </row>
    <row r="1179" spans="1:22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>
        <f t="shared" si="54"/>
        <v>1</v>
      </c>
      <c r="R1179" t="str">
        <f t="shared" si="55"/>
        <v>Unique ID</v>
      </c>
      <c r="V1179" t="str">
        <f t="shared" si="56"/>
        <v>No</v>
      </c>
    </row>
    <row r="1180" spans="1:22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>
        <f t="shared" si="54"/>
        <v>1</v>
      </c>
      <c r="R1180" t="str">
        <f t="shared" si="55"/>
        <v>Unique ID</v>
      </c>
      <c r="V1180" t="str">
        <f t="shared" si="56"/>
        <v>Yes</v>
      </c>
    </row>
    <row r="1181" spans="1:22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>
        <f t="shared" si="54"/>
        <v>1</v>
      </c>
      <c r="R1181" t="str">
        <f t="shared" si="55"/>
        <v>Unique ID</v>
      </c>
      <c r="V1181" t="str">
        <f t="shared" si="56"/>
        <v>No</v>
      </c>
    </row>
    <row r="1182" spans="1:22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>
        <f t="shared" si="54"/>
        <v>1</v>
      </c>
      <c r="R1182" t="str">
        <f t="shared" si="55"/>
        <v>Unique ID</v>
      </c>
      <c r="V1182" t="str">
        <f t="shared" si="56"/>
        <v>No</v>
      </c>
    </row>
    <row r="1183" spans="1:22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>
        <f t="shared" si="54"/>
        <v>1</v>
      </c>
      <c r="R1183" t="str">
        <f t="shared" si="55"/>
        <v>Unique ID</v>
      </c>
      <c r="V1183" t="str">
        <f t="shared" si="56"/>
        <v>No</v>
      </c>
    </row>
    <row r="1184" spans="1:22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>
        <f t="shared" si="54"/>
        <v>1</v>
      </c>
      <c r="R1184" t="str">
        <f t="shared" si="55"/>
        <v>Unique ID</v>
      </c>
      <c r="V1184" t="str">
        <f t="shared" si="56"/>
        <v>No</v>
      </c>
    </row>
    <row r="1185" spans="1:22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>
        <f t="shared" si="54"/>
        <v>1</v>
      </c>
      <c r="R1185" t="str">
        <f t="shared" si="55"/>
        <v>Unique ID</v>
      </c>
      <c r="V1185" t="str">
        <f t="shared" si="56"/>
        <v>No</v>
      </c>
    </row>
    <row r="1186" spans="1:22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>
        <f t="shared" si="54"/>
        <v>1</v>
      </c>
      <c r="R1186" t="str">
        <f t="shared" si="55"/>
        <v>Unique ID</v>
      </c>
      <c r="V1186" t="str">
        <f t="shared" si="56"/>
        <v>No</v>
      </c>
    </row>
    <row r="1187" spans="1:22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>
        <f t="shared" si="54"/>
        <v>1</v>
      </c>
      <c r="R1187" t="str">
        <f t="shared" si="55"/>
        <v>Unique ID</v>
      </c>
      <c r="V1187" t="str">
        <f t="shared" si="56"/>
        <v>No</v>
      </c>
    </row>
    <row r="1188" spans="1:22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>
        <f t="shared" si="54"/>
        <v>1</v>
      </c>
      <c r="R1188" t="str">
        <f t="shared" si="55"/>
        <v>Unique ID</v>
      </c>
      <c r="V1188" t="str">
        <f t="shared" si="56"/>
        <v>No</v>
      </c>
    </row>
    <row r="1189" spans="1:22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>
        <f t="shared" si="54"/>
        <v>1</v>
      </c>
      <c r="R1189" t="str">
        <f t="shared" si="55"/>
        <v>Unique ID</v>
      </c>
      <c r="V1189" t="str">
        <f t="shared" si="56"/>
        <v>No</v>
      </c>
    </row>
    <row r="1190" spans="1:22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>
        <f t="shared" si="54"/>
        <v>1</v>
      </c>
      <c r="R1190" t="str">
        <f t="shared" si="55"/>
        <v>Unique ID</v>
      </c>
      <c r="V1190" t="str">
        <f t="shared" si="56"/>
        <v>No</v>
      </c>
    </row>
    <row r="1191" spans="1:22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>
        <f t="shared" si="54"/>
        <v>1</v>
      </c>
      <c r="R1191" t="str">
        <f t="shared" si="55"/>
        <v>Unique ID</v>
      </c>
      <c r="V1191" t="str">
        <f t="shared" si="56"/>
        <v>No</v>
      </c>
    </row>
    <row r="1192" spans="1:22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>
        <f t="shared" si="54"/>
        <v>1</v>
      </c>
      <c r="R1192" t="str">
        <f t="shared" si="55"/>
        <v>Unique ID</v>
      </c>
      <c r="V1192" t="str">
        <f t="shared" si="56"/>
        <v>No</v>
      </c>
    </row>
    <row r="1193" spans="1:22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>
        <f t="shared" si="54"/>
        <v>1</v>
      </c>
      <c r="R1193" t="str">
        <f t="shared" si="55"/>
        <v>Unique ID</v>
      </c>
      <c r="V1193" t="str">
        <f t="shared" si="56"/>
        <v>No</v>
      </c>
    </row>
    <row r="1194" spans="1:22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>
        <f t="shared" si="54"/>
        <v>1</v>
      </c>
      <c r="R1194" t="str">
        <f t="shared" si="55"/>
        <v>Unique ID</v>
      </c>
      <c r="V1194" t="str">
        <f t="shared" si="56"/>
        <v>No</v>
      </c>
    </row>
    <row r="1195" spans="1:22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>
        <f t="shared" si="54"/>
        <v>1</v>
      </c>
      <c r="R1195" t="str">
        <f t="shared" si="55"/>
        <v>Unique ID</v>
      </c>
      <c r="V1195" t="str">
        <f t="shared" si="56"/>
        <v>No</v>
      </c>
    </row>
    <row r="1196" spans="1:22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>
        <f t="shared" si="54"/>
        <v>1</v>
      </c>
      <c r="R1196" t="str">
        <f t="shared" si="55"/>
        <v>Unique ID</v>
      </c>
      <c r="V1196" t="str">
        <f t="shared" si="56"/>
        <v>No</v>
      </c>
    </row>
    <row r="1197" spans="1:22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>
        <f t="shared" si="54"/>
        <v>1</v>
      </c>
      <c r="R1197" t="str">
        <f t="shared" si="55"/>
        <v>Unique ID</v>
      </c>
      <c r="V1197" t="str">
        <f t="shared" si="56"/>
        <v>No</v>
      </c>
    </row>
    <row r="1198" spans="1:22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>
        <f t="shared" si="54"/>
        <v>1</v>
      </c>
      <c r="R1198" t="str">
        <f t="shared" si="55"/>
        <v>Unique ID</v>
      </c>
      <c r="V1198" t="str">
        <f t="shared" si="56"/>
        <v>No</v>
      </c>
    </row>
    <row r="1199" spans="1:22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>
        <f t="shared" si="54"/>
        <v>1</v>
      </c>
      <c r="R1199" t="str">
        <f t="shared" si="55"/>
        <v>Unique ID</v>
      </c>
      <c r="V1199" t="str">
        <f t="shared" si="56"/>
        <v>No</v>
      </c>
    </row>
    <row r="1200" spans="1:22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>
        <f t="shared" si="54"/>
        <v>1</v>
      </c>
      <c r="R1200" t="str">
        <f t="shared" si="55"/>
        <v>Unique ID</v>
      </c>
      <c r="V1200" t="str">
        <f t="shared" si="56"/>
        <v>No</v>
      </c>
    </row>
    <row r="1201" spans="1:22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>
        <f t="shared" si="54"/>
        <v>1</v>
      </c>
      <c r="R1201" t="str">
        <f t="shared" si="55"/>
        <v>Unique ID</v>
      </c>
      <c r="V1201" t="str">
        <f t="shared" si="56"/>
        <v>No</v>
      </c>
    </row>
    <row r="1202" spans="1:22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>
        <f t="shared" si="54"/>
        <v>1</v>
      </c>
      <c r="R1202" t="str">
        <f t="shared" si="55"/>
        <v>Unique ID</v>
      </c>
      <c r="V1202" t="str">
        <f t="shared" si="56"/>
        <v>No</v>
      </c>
    </row>
    <row r="1203" spans="1:22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>
        <f t="shared" si="54"/>
        <v>1</v>
      </c>
      <c r="R1203" t="str">
        <f t="shared" si="55"/>
        <v>Unique ID</v>
      </c>
      <c r="V1203" t="str">
        <f t="shared" si="56"/>
        <v>No</v>
      </c>
    </row>
    <row r="1204" spans="1:22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>
        <f t="shared" si="54"/>
        <v>1</v>
      </c>
      <c r="R1204" t="str">
        <f t="shared" si="55"/>
        <v>Unique ID</v>
      </c>
      <c r="V1204" t="str">
        <f t="shared" si="56"/>
        <v>No</v>
      </c>
    </row>
    <row r="1205" spans="1:22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>
        <f t="shared" si="54"/>
        <v>1</v>
      </c>
      <c r="R1205" t="str">
        <f t="shared" si="55"/>
        <v>Unique ID</v>
      </c>
      <c r="V1205" t="str">
        <f t="shared" si="56"/>
        <v>No</v>
      </c>
    </row>
    <row r="1206" spans="1:22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>
        <f t="shared" si="54"/>
        <v>1</v>
      </c>
      <c r="R1206" t="str">
        <f t="shared" si="55"/>
        <v>Unique ID</v>
      </c>
      <c r="V1206" t="str">
        <f t="shared" si="56"/>
        <v>No</v>
      </c>
    </row>
    <row r="1207" spans="1:22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>
        <f t="shared" si="54"/>
        <v>1</v>
      </c>
      <c r="R1207" t="str">
        <f t="shared" si="55"/>
        <v>Unique ID</v>
      </c>
      <c r="V1207" t="str">
        <f t="shared" si="56"/>
        <v>No</v>
      </c>
    </row>
    <row r="1208" spans="1:22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>
        <f t="shared" si="54"/>
        <v>1</v>
      </c>
      <c r="R1208" t="str">
        <f t="shared" si="55"/>
        <v>Unique ID</v>
      </c>
      <c r="V1208" t="str">
        <f t="shared" si="56"/>
        <v>No</v>
      </c>
    </row>
    <row r="1209" spans="1:22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>
        <f t="shared" si="54"/>
        <v>1</v>
      </c>
      <c r="R1209" t="str">
        <f t="shared" si="55"/>
        <v>Unique ID</v>
      </c>
      <c r="V1209" t="str">
        <f t="shared" si="56"/>
        <v>No</v>
      </c>
    </row>
    <row r="1210" spans="1:22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>
        <f t="shared" si="54"/>
        <v>1</v>
      </c>
      <c r="R1210" t="str">
        <f t="shared" si="55"/>
        <v>Unique ID</v>
      </c>
      <c r="V1210" t="str">
        <f t="shared" si="56"/>
        <v>No</v>
      </c>
    </row>
    <row r="1211" spans="1:22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>
        <f t="shared" si="54"/>
        <v>2</v>
      </c>
      <c r="R1211" t="str">
        <f t="shared" si="55"/>
        <v>Duplicate ID</v>
      </c>
      <c r="V1211" t="str">
        <f t="shared" si="56"/>
        <v>No</v>
      </c>
    </row>
    <row r="1212" spans="1:22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>
        <f t="shared" si="54"/>
        <v>1</v>
      </c>
      <c r="R1212" t="str">
        <f t="shared" si="55"/>
        <v>Unique ID</v>
      </c>
      <c r="V1212" t="str">
        <f t="shared" si="56"/>
        <v>No</v>
      </c>
    </row>
    <row r="1213" spans="1:22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>
        <f t="shared" si="54"/>
        <v>1</v>
      </c>
      <c r="R1213" t="str">
        <f t="shared" si="55"/>
        <v>Unique ID</v>
      </c>
      <c r="V1213" t="str">
        <f t="shared" si="56"/>
        <v>No</v>
      </c>
    </row>
    <row r="1214" spans="1:22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>
        <f t="shared" si="54"/>
        <v>1</v>
      </c>
      <c r="R1214" t="str">
        <f t="shared" si="55"/>
        <v>Unique ID</v>
      </c>
      <c r="V1214" t="str">
        <f t="shared" si="56"/>
        <v>No</v>
      </c>
    </row>
    <row r="1215" spans="1:22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>
        <f t="shared" si="54"/>
        <v>1</v>
      </c>
      <c r="R1215" t="str">
        <f t="shared" si="55"/>
        <v>Unique ID</v>
      </c>
      <c r="V1215" t="str">
        <f t="shared" si="56"/>
        <v>No</v>
      </c>
    </row>
    <row r="1216" spans="1:22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>
        <f t="shared" si="54"/>
        <v>1</v>
      </c>
      <c r="R1216" t="str">
        <f t="shared" si="55"/>
        <v>Unique ID</v>
      </c>
      <c r="V1216" t="str">
        <f t="shared" si="56"/>
        <v>No</v>
      </c>
    </row>
    <row r="1217" spans="1:22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>
        <f t="shared" si="54"/>
        <v>1</v>
      </c>
      <c r="R1217" t="str">
        <f t="shared" si="55"/>
        <v>Unique ID</v>
      </c>
      <c r="V1217" t="str">
        <f t="shared" si="56"/>
        <v>No</v>
      </c>
    </row>
    <row r="1218" spans="1:22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>
        <f t="shared" si="54"/>
        <v>1</v>
      </c>
      <c r="R1218" t="str">
        <f t="shared" si="55"/>
        <v>Unique ID</v>
      </c>
      <c r="V1218" t="str">
        <f t="shared" si="56"/>
        <v>No</v>
      </c>
    </row>
    <row r="1219" spans="1:22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>
        <f t="shared" ref="Q1219:Q1282" si="57">COUNTIF($A:$A,A1219)</f>
        <v>1</v>
      </c>
      <c r="R1219" t="str">
        <f t="shared" ref="R1219:R1282" si="58">IF(Q1219&gt;1,"Duplicate ID","Unique ID")</f>
        <v>Unique ID</v>
      </c>
      <c r="V1219" t="str">
        <f t="shared" ref="V1219:V1282" si="59">IF(OR(L1219&lt;$U$5,L1219&gt;$U$6),"Yes","No")</f>
        <v>No</v>
      </c>
    </row>
    <row r="1220" spans="1:22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>
        <f t="shared" si="57"/>
        <v>1</v>
      </c>
      <c r="R1220" t="str">
        <f t="shared" si="58"/>
        <v>Unique ID</v>
      </c>
      <c r="V1220" t="str">
        <f t="shared" si="59"/>
        <v>No</v>
      </c>
    </row>
    <row r="1221" spans="1:22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>
        <f t="shared" si="57"/>
        <v>1</v>
      </c>
      <c r="R1221" t="str">
        <f t="shared" si="58"/>
        <v>Unique ID</v>
      </c>
      <c r="V1221" t="str">
        <f t="shared" si="59"/>
        <v>No</v>
      </c>
    </row>
    <row r="1222" spans="1:22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>
        <f t="shared" si="57"/>
        <v>1</v>
      </c>
      <c r="R1222" t="str">
        <f t="shared" si="58"/>
        <v>Unique ID</v>
      </c>
      <c r="V1222" t="str">
        <f t="shared" si="59"/>
        <v>Yes</v>
      </c>
    </row>
    <row r="1223" spans="1:22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>
        <f t="shared" si="57"/>
        <v>1</v>
      </c>
      <c r="R1223" t="str">
        <f t="shared" si="58"/>
        <v>Unique ID</v>
      </c>
      <c r="V1223" t="str">
        <f t="shared" si="59"/>
        <v>Yes</v>
      </c>
    </row>
    <row r="1224" spans="1:22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>
        <f t="shared" si="57"/>
        <v>1</v>
      </c>
      <c r="R1224" t="str">
        <f t="shared" si="58"/>
        <v>Unique ID</v>
      </c>
      <c r="V1224" t="str">
        <f t="shared" si="59"/>
        <v>No</v>
      </c>
    </row>
    <row r="1225" spans="1:22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>
        <f t="shared" si="57"/>
        <v>1</v>
      </c>
      <c r="R1225" t="str">
        <f t="shared" si="58"/>
        <v>Unique ID</v>
      </c>
      <c r="V1225" t="str">
        <f t="shared" si="59"/>
        <v>No</v>
      </c>
    </row>
    <row r="1226" spans="1:22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>
        <f t="shared" si="57"/>
        <v>1</v>
      </c>
      <c r="R1226" t="str">
        <f t="shared" si="58"/>
        <v>Unique ID</v>
      </c>
      <c r="V1226" t="str">
        <f t="shared" si="59"/>
        <v>No</v>
      </c>
    </row>
    <row r="1227" spans="1:22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>
        <f t="shared" si="57"/>
        <v>1</v>
      </c>
      <c r="R1227" t="str">
        <f t="shared" si="58"/>
        <v>Unique ID</v>
      </c>
      <c r="V1227" t="str">
        <f t="shared" si="59"/>
        <v>Yes</v>
      </c>
    </row>
    <row r="1228" spans="1:22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>
        <f t="shared" si="57"/>
        <v>1</v>
      </c>
      <c r="R1228" t="str">
        <f t="shared" si="58"/>
        <v>Unique ID</v>
      </c>
      <c r="V1228" t="str">
        <f t="shared" si="59"/>
        <v>No</v>
      </c>
    </row>
    <row r="1229" spans="1:22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>
        <f t="shared" si="57"/>
        <v>1</v>
      </c>
      <c r="R1229" t="str">
        <f t="shared" si="58"/>
        <v>Unique ID</v>
      </c>
      <c r="V1229" t="str">
        <f t="shared" si="59"/>
        <v>No</v>
      </c>
    </row>
    <row r="1230" spans="1:22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>
        <f t="shared" si="57"/>
        <v>1</v>
      </c>
      <c r="R1230" t="str">
        <f t="shared" si="58"/>
        <v>Unique ID</v>
      </c>
      <c r="V1230" t="str">
        <f t="shared" si="59"/>
        <v>No</v>
      </c>
    </row>
    <row r="1231" spans="1:22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>
        <f t="shared" si="57"/>
        <v>1</v>
      </c>
      <c r="R1231" t="str">
        <f t="shared" si="58"/>
        <v>Unique ID</v>
      </c>
      <c r="V1231" t="str">
        <f t="shared" si="59"/>
        <v>No</v>
      </c>
    </row>
    <row r="1232" spans="1:22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>
        <f t="shared" si="57"/>
        <v>1</v>
      </c>
      <c r="R1232" t="str">
        <f t="shared" si="58"/>
        <v>Unique ID</v>
      </c>
      <c r="V1232" t="str">
        <f t="shared" si="59"/>
        <v>No</v>
      </c>
    </row>
    <row r="1233" spans="1:22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>
        <f t="shared" si="57"/>
        <v>2</v>
      </c>
      <c r="R1233" t="str">
        <f t="shared" si="58"/>
        <v>Duplicate ID</v>
      </c>
      <c r="V1233" t="str">
        <f t="shared" si="59"/>
        <v>No</v>
      </c>
    </row>
    <row r="1234" spans="1:22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>
        <f t="shared" si="57"/>
        <v>1</v>
      </c>
      <c r="R1234" t="str">
        <f t="shared" si="58"/>
        <v>Unique ID</v>
      </c>
      <c r="V1234" t="str">
        <f t="shared" si="59"/>
        <v>No</v>
      </c>
    </row>
    <row r="1235" spans="1:22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>
        <f t="shared" si="57"/>
        <v>1</v>
      </c>
      <c r="R1235" t="str">
        <f t="shared" si="58"/>
        <v>Unique ID</v>
      </c>
      <c r="V1235" t="str">
        <f t="shared" si="59"/>
        <v>No</v>
      </c>
    </row>
    <row r="1236" spans="1:22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>
        <f t="shared" si="57"/>
        <v>1</v>
      </c>
      <c r="R1236" t="str">
        <f t="shared" si="58"/>
        <v>Unique ID</v>
      </c>
      <c r="V1236" t="str">
        <f t="shared" si="59"/>
        <v>No</v>
      </c>
    </row>
    <row r="1237" spans="1:22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>
        <f t="shared" si="57"/>
        <v>1</v>
      </c>
      <c r="R1237" t="str">
        <f t="shared" si="58"/>
        <v>Unique ID</v>
      </c>
      <c r="V1237" t="str">
        <f t="shared" si="59"/>
        <v>No</v>
      </c>
    </row>
    <row r="1238" spans="1:22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>
        <f t="shared" si="57"/>
        <v>1</v>
      </c>
      <c r="R1238" t="str">
        <f t="shared" si="58"/>
        <v>Unique ID</v>
      </c>
      <c r="V1238" t="str">
        <f t="shared" si="59"/>
        <v>Yes</v>
      </c>
    </row>
    <row r="1239" spans="1:22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>
        <f t="shared" si="57"/>
        <v>1</v>
      </c>
      <c r="R1239" t="str">
        <f t="shared" si="58"/>
        <v>Unique ID</v>
      </c>
      <c r="V1239" t="str">
        <f t="shared" si="59"/>
        <v>No</v>
      </c>
    </row>
    <row r="1240" spans="1:22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>
        <f t="shared" si="57"/>
        <v>1</v>
      </c>
      <c r="R1240" t="str">
        <f t="shared" si="58"/>
        <v>Unique ID</v>
      </c>
      <c r="V1240" t="str">
        <f t="shared" si="59"/>
        <v>No</v>
      </c>
    </row>
    <row r="1241" spans="1:22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>
        <f t="shared" si="57"/>
        <v>1</v>
      </c>
      <c r="R1241" t="str">
        <f t="shared" si="58"/>
        <v>Unique ID</v>
      </c>
      <c r="V1241" t="str">
        <f t="shared" si="59"/>
        <v>No</v>
      </c>
    </row>
    <row r="1242" spans="1:22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>
        <f t="shared" si="57"/>
        <v>1</v>
      </c>
      <c r="R1242" t="str">
        <f t="shared" si="58"/>
        <v>Unique ID</v>
      </c>
      <c r="V1242" t="str">
        <f t="shared" si="59"/>
        <v>No</v>
      </c>
    </row>
    <row r="1243" spans="1:22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>
        <f t="shared" si="57"/>
        <v>1</v>
      </c>
      <c r="R1243" t="str">
        <f t="shared" si="58"/>
        <v>Unique ID</v>
      </c>
      <c r="V1243" t="str">
        <f t="shared" si="59"/>
        <v>No</v>
      </c>
    </row>
    <row r="1244" spans="1:22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>
        <f t="shared" si="57"/>
        <v>1</v>
      </c>
      <c r="R1244" t="str">
        <f t="shared" si="58"/>
        <v>Unique ID</v>
      </c>
      <c r="V1244" t="str">
        <f t="shared" si="59"/>
        <v>No</v>
      </c>
    </row>
    <row r="1245" spans="1:22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>
        <f t="shared" si="57"/>
        <v>1</v>
      </c>
      <c r="R1245" t="str">
        <f t="shared" si="58"/>
        <v>Unique ID</v>
      </c>
      <c r="V1245" t="str">
        <f t="shared" si="59"/>
        <v>No</v>
      </c>
    </row>
    <row r="1246" spans="1:22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>
        <f t="shared" si="57"/>
        <v>1</v>
      </c>
      <c r="R1246" t="str">
        <f t="shared" si="58"/>
        <v>Unique ID</v>
      </c>
      <c r="V1246" t="str">
        <f t="shared" si="59"/>
        <v>No</v>
      </c>
    </row>
    <row r="1247" spans="1:22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>
        <f t="shared" si="57"/>
        <v>1</v>
      </c>
      <c r="R1247" t="str">
        <f t="shared" si="58"/>
        <v>Unique ID</v>
      </c>
      <c r="V1247" t="str">
        <f t="shared" si="59"/>
        <v>No</v>
      </c>
    </row>
    <row r="1248" spans="1:22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>
        <f t="shared" si="57"/>
        <v>1</v>
      </c>
      <c r="R1248" t="str">
        <f t="shared" si="58"/>
        <v>Unique ID</v>
      </c>
      <c r="V1248" t="str">
        <f t="shared" si="59"/>
        <v>No</v>
      </c>
    </row>
    <row r="1249" spans="1:22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>
        <f t="shared" si="57"/>
        <v>1</v>
      </c>
      <c r="R1249" t="str">
        <f t="shared" si="58"/>
        <v>Unique ID</v>
      </c>
      <c r="V1249" t="str">
        <f t="shared" si="59"/>
        <v>No</v>
      </c>
    </row>
    <row r="1250" spans="1:22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>
        <f t="shared" si="57"/>
        <v>1</v>
      </c>
      <c r="R1250" t="str">
        <f t="shared" si="58"/>
        <v>Unique ID</v>
      </c>
      <c r="V1250" t="str">
        <f t="shared" si="59"/>
        <v>No</v>
      </c>
    </row>
    <row r="1251" spans="1:22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>
        <f t="shared" si="57"/>
        <v>1</v>
      </c>
      <c r="R1251" t="str">
        <f t="shared" si="58"/>
        <v>Unique ID</v>
      </c>
      <c r="V1251" t="str">
        <f t="shared" si="59"/>
        <v>No</v>
      </c>
    </row>
    <row r="1252" spans="1:22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>
        <f t="shared" si="57"/>
        <v>1</v>
      </c>
      <c r="R1252" t="str">
        <f t="shared" si="58"/>
        <v>Unique ID</v>
      </c>
      <c r="V1252" t="str">
        <f t="shared" si="59"/>
        <v>Yes</v>
      </c>
    </row>
    <row r="1253" spans="1:22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>
        <f t="shared" si="57"/>
        <v>1</v>
      </c>
      <c r="R1253" t="str">
        <f t="shared" si="58"/>
        <v>Unique ID</v>
      </c>
      <c r="V1253" t="str">
        <f t="shared" si="59"/>
        <v>No</v>
      </c>
    </row>
    <row r="1254" spans="1:22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>
        <f t="shared" si="57"/>
        <v>1</v>
      </c>
      <c r="R1254" t="str">
        <f t="shared" si="58"/>
        <v>Unique ID</v>
      </c>
      <c r="V1254" t="str">
        <f t="shared" si="59"/>
        <v>No</v>
      </c>
    </row>
    <row r="1255" spans="1:22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>
        <f t="shared" si="57"/>
        <v>1</v>
      </c>
      <c r="R1255" t="str">
        <f t="shared" si="58"/>
        <v>Unique ID</v>
      </c>
      <c r="V1255" t="str">
        <f t="shared" si="59"/>
        <v>No</v>
      </c>
    </row>
    <row r="1256" spans="1:22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>
        <f t="shared" si="57"/>
        <v>1</v>
      </c>
      <c r="R1256" t="str">
        <f t="shared" si="58"/>
        <v>Unique ID</v>
      </c>
      <c r="V1256" t="str">
        <f t="shared" si="59"/>
        <v>No</v>
      </c>
    </row>
    <row r="1257" spans="1:22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>
        <f t="shared" si="57"/>
        <v>1</v>
      </c>
      <c r="R1257" t="str">
        <f t="shared" si="58"/>
        <v>Unique ID</v>
      </c>
      <c r="V1257" t="str">
        <f t="shared" si="59"/>
        <v>Yes</v>
      </c>
    </row>
    <row r="1258" spans="1:22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>
        <f t="shared" si="57"/>
        <v>1</v>
      </c>
      <c r="R1258" t="str">
        <f t="shared" si="58"/>
        <v>Unique ID</v>
      </c>
      <c r="V1258" t="str">
        <f t="shared" si="59"/>
        <v>No</v>
      </c>
    </row>
    <row r="1259" spans="1:22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>
        <f t="shared" si="57"/>
        <v>1</v>
      </c>
      <c r="R1259" t="str">
        <f t="shared" si="58"/>
        <v>Unique ID</v>
      </c>
      <c r="V1259" t="str">
        <f t="shared" si="59"/>
        <v>No</v>
      </c>
    </row>
    <row r="1260" spans="1:22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>
        <f t="shared" si="57"/>
        <v>1</v>
      </c>
      <c r="R1260" t="str">
        <f t="shared" si="58"/>
        <v>Unique ID</v>
      </c>
      <c r="V1260" t="str">
        <f t="shared" si="59"/>
        <v>No</v>
      </c>
    </row>
    <row r="1261" spans="1:22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>
        <f t="shared" si="57"/>
        <v>1</v>
      </c>
      <c r="R1261" t="str">
        <f t="shared" si="58"/>
        <v>Unique ID</v>
      </c>
      <c r="V1261" t="str">
        <f t="shared" si="59"/>
        <v>No</v>
      </c>
    </row>
    <row r="1262" spans="1:22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>
        <f t="shared" si="57"/>
        <v>1</v>
      </c>
      <c r="R1262" t="str">
        <f t="shared" si="58"/>
        <v>Unique ID</v>
      </c>
      <c r="V1262" t="str">
        <f t="shared" si="59"/>
        <v>No</v>
      </c>
    </row>
    <row r="1263" spans="1:22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>
        <f t="shared" si="57"/>
        <v>1</v>
      </c>
      <c r="R1263" t="str">
        <f t="shared" si="58"/>
        <v>Unique ID</v>
      </c>
      <c r="V1263" t="str">
        <f t="shared" si="59"/>
        <v>No</v>
      </c>
    </row>
    <row r="1264" spans="1:22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>
        <f t="shared" si="57"/>
        <v>1</v>
      </c>
      <c r="R1264" t="str">
        <f t="shared" si="58"/>
        <v>Unique ID</v>
      </c>
      <c r="V1264" t="str">
        <f t="shared" si="59"/>
        <v>No</v>
      </c>
    </row>
    <row r="1265" spans="1:22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>
        <f t="shared" si="57"/>
        <v>1</v>
      </c>
      <c r="R1265" t="str">
        <f t="shared" si="58"/>
        <v>Unique ID</v>
      </c>
      <c r="V1265" t="str">
        <f t="shared" si="59"/>
        <v>No</v>
      </c>
    </row>
    <row r="1266" spans="1:22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>
        <f t="shared" si="57"/>
        <v>1</v>
      </c>
      <c r="R1266" t="str">
        <f t="shared" si="58"/>
        <v>Unique ID</v>
      </c>
      <c r="V1266" t="str">
        <f t="shared" si="59"/>
        <v>No</v>
      </c>
    </row>
    <row r="1267" spans="1:22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>
        <f t="shared" si="57"/>
        <v>1</v>
      </c>
      <c r="R1267" t="str">
        <f t="shared" si="58"/>
        <v>Unique ID</v>
      </c>
      <c r="V1267" t="str">
        <f t="shared" si="59"/>
        <v>No</v>
      </c>
    </row>
    <row r="1268" spans="1:22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>
        <f t="shared" si="57"/>
        <v>1</v>
      </c>
      <c r="R1268" t="str">
        <f t="shared" si="58"/>
        <v>Unique ID</v>
      </c>
      <c r="V1268" t="str">
        <f t="shared" si="59"/>
        <v>No</v>
      </c>
    </row>
    <row r="1269" spans="1:22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>
        <f t="shared" si="57"/>
        <v>1</v>
      </c>
      <c r="R1269" t="str">
        <f t="shared" si="58"/>
        <v>Unique ID</v>
      </c>
      <c r="V1269" t="str">
        <f t="shared" si="59"/>
        <v>No</v>
      </c>
    </row>
    <row r="1270" spans="1:22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>
        <f t="shared" si="57"/>
        <v>1</v>
      </c>
      <c r="R1270" t="str">
        <f t="shared" si="58"/>
        <v>Unique ID</v>
      </c>
      <c r="V1270" t="str">
        <f t="shared" si="59"/>
        <v>No</v>
      </c>
    </row>
    <row r="1271" spans="1:22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>
        <f t="shared" si="57"/>
        <v>1</v>
      </c>
      <c r="R1271" t="str">
        <f t="shared" si="58"/>
        <v>Unique ID</v>
      </c>
      <c r="V1271" t="str">
        <f t="shared" si="59"/>
        <v>No</v>
      </c>
    </row>
    <row r="1272" spans="1:22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>
        <f t="shared" si="57"/>
        <v>1</v>
      </c>
      <c r="R1272" t="str">
        <f t="shared" si="58"/>
        <v>Unique ID</v>
      </c>
      <c r="V1272" t="str">
        <f t="shared" si="59"/>
        <v>No</v>
      </c>
    </row>
    <row r="1273" spans="1:22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>
        <f t="shared" si="57"/>
        <v>1</v>
      </c>
      <c r="R1273" t="str">
        <f t="shared" si="58"/>
        <v>Unique ID</v>
      </c>
      <c r="V1273" t="str">
        <f t="shared" si="59"/>
        <v>No</v>
      </c>
    </row>
    <row r="1274" spans="1:22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>
        <f t="shared" si="57"/>
        <v>1</v>
      </c>
      <c r="R1274" t="str">
        <f t="shared" si="58"/>
        <v>Unique ID</v>
      </c>
      <c r="V1274" t="str">
        <f t="shared" si="59"/>
        <v>No</v>
      </c>
    </row>
    <row r="1275" spans="1:22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>
        <f t="shared" si="57"/>
        <v>1</v>
      </c>
      <c r="R1275" t="str">
        <f t="shared" si="58"/>
        <v>Unique ID</v>
      </c>
      <c r="V1275" t="str">
        <f t="shared" si="59"/>
        <v>No</v>
      </c>
    </row>
    <row r="1276" spans="1:22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>
        <f t="shared" si="57"/>
        <v>1</v>
      </c>
      <c r="R1276" t="str">
        <f t="shared" si="58"/>
        <v>Unique ID</v>
      </c>
      <c r="V1276" t="str">
        <f t="shared" si="59"/>
        <v>No</v>
      </c>
    </row>
    <row r="1277" spans="1:22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>
        <f t="shared" si="57"/>
        <v>1</v>
      </c>
      <c r="R1277" t="str">
        <f t="shared" si="58"/>
        <v>Unique ID</v>
      </c>
      <c r="V1277" t="str">
        <f t="shared" si="59"/>
        <v>No</v>
      </c>
    </row>
    <row r="1278" spans="1:22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>
        <f t="shared" si="57"/>
        <v>1</v>
      </c>
      <c r="R1278" t="str">
        <f t="shared" si="58"/>
        <v>Unique ID</v>
      </c>
      <c r="V1278" t="str">
        <f t="shared" si="59"/>
        <v>No</v>
      </c>
    </row>
    <row r="1279" spans="1:22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>
        <f t="shared" si="57"/>
        <v>1</v>
      </c>
      <c r="R1279" t="str">
        <f t="shared" si="58"/>
        <v>Unique ID</v>
      </c>
      <c r="V1279" t="str">
        <f t="shared" si="59"/>
        <v>No</v>
      </c>
    </row>
    <row r="1280" spans="1:22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>
        <f t="shared" si="57"/>
        <v>1</v>
      </c>
      <c r="R1280" t="str">
        <f t="shared" si="58"/>
        <v>Unique ID</v>
      </c>
      <c r="V1280" t="str">
        <f t="shared" si="59"/>
        <v>No</v>
      </c>
    </row>
    <row r="1281" spans="1:22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>
        <f t="shared" si="57"/>
        <v>1</v>
      </c>
      <c r="R1281" t="str">
        <f t="shared" si="58"/>
        <v>Unique ID</v>
      </c>
      <c r="V1281" t="str">
        <f t="shared" si="59"/>
        <v>No</v>
      </c>
    </row>
    <row r="1282" spans="1:22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>
        <f t="shared" si="57"/>
        <v>1</v>
      </c>
      <c r="R1282" t="str">
        <f t="shared" si="58"/>
        <v>Unique ID</v>
      </c>
      <c r="V1282" t="str">
        <f t="shared" si="59"/>
        <v>No</v>
      </c>
    </row>
    <row r="1283" spans="1:22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>
        <f t="shared" ref="Q1283:Q1346" si="60">COUNTIF($A:$A,A1283)</f>
        <v>1</v>
      </c>
      <c r="R1283" t="str">
        <f t="shared" ref="R1283:R1346" si="61">IF(Q1283&gt;1,"Duplicate ID","Unique ID")</f>
        <v>Unique ID</v>
      </c>
      <c r="V1283" t="str">
        <f t="shared" ref="V1283:V1346" si="62">IF(OR(L1283&lt;$U$5,L1283&gt;$U$6),"Yes","No")</f>
        <v>No</v>
      </c>
    </row>
    <row r="1284" spans="1:22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>
        <f t="shared" si="60"/>
        <v>1</v>
      </c>
      <c r="R1284" t="str">
        <f t="shared" si="61"/>
        <v>Unique ID</v>
      </c>
      <c r="V1284" t="str">
        <f t="shared" si="62"/>
        <v>No</v>
      </c>
    </row>
    <row r="1285" spans="1:22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>
        <f t="shared" si="60"/>
        <v>1</v>
      </c>
      <c r="R1285" t="str">
        <f t="shared" si="61"/>
        <v>Unique ID</v>
      </c>
      <c r="V1285" t="str">
        <f t="shared" si="62"/>
        <v>No</v>
      </c>
    </row>
    <row r="1286" spans="1:22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>
        <f t="shared" si="60"/>
        <v>1</v>
      </c>
      <c r="R1286" t="str">
        <f t="shared" si="61"/>
        <v>Unique ID</v>
      </c>
      <c r="V1286" t="str">
        <f t="shared" si="62"/>
        <v>No</v>
      </c>
    </row>
    <row r="1287" spans="1:22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>
        <f t="shared" si="60"/>
        <v>1</v>
      </c>
      <c r="R1287" t="str">
        <f t="shared" si="61"/>
        <v>Unique ID</v>
      </c>
      <c r="V1287" t="str">
        <f t="shared" si="62"/>
        <v>No</v>
      </c>
    </row>
    <row r="1288" spans="1:22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>
        <f t="shared" si="60"/>
        <v>1</v>
      </c>
      <c r="R1288" t="str">
        <f t="shared" si="61"/>
        <v>Unique ID</v>
      </c>
      <c r="V1288" t="str">
        <f t="shared" si="62"/>
        <v>No</v>
      </c>
    </row>
    <row r="1289" spans="1:22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>
        <f t="shared" si="60"/>
        <v>1</v>
      </c>
      <c r="R1289" t="str">
        <f t="shared" si="61"/>
        <v>Unique ID</v>
      </c>
      <c r="V1289" t="str">
        <f t="shared" si="62"/>
        <v>No</v>
      </c>
    </row>
    <row r="1290" spans="1:22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>
        <f t="shared" si="60"/>
        <v>1</v>
      </c>
      <c r="R1290" t="str">
        <f t="shared" si="61"/>
        <v>Unique ID</v>
      </c>
      <c r="V1290" t="str">
        <f t="shared" si="62"/>
        <v>No</v>
      </c>
    </row>
    <row r="1291" spans="1:22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>
        <f t="shared" si="60"/>
        <v>1</v>
      </c>
      <c r="R1291" t="str">
        <f t="shared" si="61"/>
        <v>Unique ID</v>
      </c>
      <c r="V1291" t="str">
        <f t="shared" si="62"/>
        <v>No</v>
      </c>
    </row>
    <row r="1292" spans="1:22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>
        <f t="shared" si="60"/>
        <v>1</v>
      </c>
      <c r="R1292" t="str">
        <f t="shared" si="61"/>
        <v>Unique ID</v>
      </c>
      <c r="V1292" t="str">
        <f t="shared" si="62"/>
        <v>No</v>
      </c>
    </row>
    <row r="1293" spans="1:22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>
        <f t="shared" si="60"/>
        <v>1</v>
      </c>
      <c r="R1293" t="str">
        <f t="shared" si="61"/>
        <v>Unique ID</v>
      </c>
      <c r="V1293" t="str">
        <f t="shared" si="62"/>
        <v>No</v>
      </c>
    </row>
    <row r="1294" spans="1:22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>
        <f t="shared" si="60"/>
        <v>1</v>
      </c>
      <c r="R1294" t="str">
        <f t="shared" si="61"/>
        <v>Unique ID</v>
      </c>
      <c r="V1294" t="str">
        <f t="shared" si="62"/>
        <v>No</v>
      </c>
    </row>
    <row r="1295" spans="1:22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>
        <f t="shared" si="60"/>
        <v>1</v>
      </c>
      <c r="R1295" t="str">
        <f t="shared" si="61"/>
        <v>Unique ID</v>
      </c>
      <c r="V1295" t="str">
        <f t="shared" si="62"/>
        <v>No</v>
      </c>
    </row>
    <row r="1296" spans="1:22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>
        <f t="shared" si="60"/>
        <v>1</v>
      </c>
      <c r="R1296" t="str">
        <f t="shared" si="61"/>
        <v>Unique ID</v>
      </c>
      <c r="V1296" t="str">
        <f t="shared" si="62"/>
        <v>No</v>
      </c>
    </row>
    <row r="1297" spans="1:22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>
        <f t="shared" si="60"/>
        <v>1</v>
      </c>
      <c r="R1297" t="str">
        <f t="shared" si="61"/>
        <v>Unique ID</v>
      </c>
      <c r="V1297" t="str">
        <f t="shared" si="62"/>
        <v>No</v>
      </c>
    </row>
    <row r="1298" spans="1:22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>
        <f t="shared" si="60"/>
        <v>1</v>
      </c>
      <c r="R1298" t="str">
        <f t="shared" si="61"/>
        <v>Unique ID</v>
      </c>
      <c r="V1298" t="str">
        <f t="shared" si="62"/>
        <v>Yes</v>
      </c>
    </row>
    <row r="1299" spans="1:22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>
        <f t="shared" si="60"/>
        <v>1</v>
      </c>
      <c r="R1299" t="str">
        <f t="shared" si="61"/>
        <v>Unique ID</v>
      </c>
      <c r="V1299" t="str">
        <f t="shared" si="62"/>
        <v>No</v>
      </c>
    </row>
    <row r="1300" spans="1:22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>
        <f t="shared" si="60"/>
        <v>1</v>
      </c>
      <c r="R1300" t="str">
        <f t="shared" si="61"/>
        <v>Unique ID</v>
      </c>
      <c r="V1300" t="str">
        <f t="shared" si="62"/>
        <v>No</v>
      </c>
    </row>
    <row r="1301" spans="1:22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>
        <f t="shared" si="60"/>
        <v>1</v>
      </c>
      <c r="R1301" t="str">
        <f t="shared" si="61"/>
        <v>Unique ID</v>
      </c>
      <c r="V1301" t="str">
        <f t="shared" si="62"/>
        <v>No</v>
      </c>
    </row>
    <row r="1302" spans="1:22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>
        <f t="shared" si="60"/>
        <v>1</v>
      </c>
      <c r="R1302" t="str">
        <f t="shared" si="61"/>
        <v>Unique ID</v>
      </c>
      <c r="V1302" t="str">
        <f t="shared" si="62"/>
        <v>No</v>
      </c>
    </row>
    <row r="1303" spans="1:22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>
        <f t="shared" si="60"/>
        <v>1</v>
      </c>
      <c r="R1303" t="str">
        <f t="shared" si="61"/>
        <v>Unique ID</v>
      </c>
      <c r="V1303" t="str">
        <f t="shared" si="62"/>
        <v>No</v>
      </c>
    </row>
    <row r="1304" spans="1:22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>
        <f t="shared" si="60"/>
        <v>1</v>
      </c>
      <c r="R1304" t="str">
        <f t="shared" si="61"/>
        <v>Unique ID</v>
      </c>
      <c r="V1304" t="str">
        <f t="shared" si="62"/>
        <v>No</v>
      </c>
    </row>
    <row r="1305" spans="1:22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>
        <f t="shared" si="60"/>
        <v>1</v>
      </c>
      <c r="R1305" t="str">
        <f t="shared" si="61"/>
        <v>Unique ID</v>
      </c>
      <c r="V1305" t="str">
        <f t="shared" si="62"/>
        <v>No</v>
      </c>
    </row>
    <row r="1306" spans="1:22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>
        <f t="shared" si="60"/>
        <v>1</v>
      </c>
      <c r="R1306" t="str">
        <f t="shared" si="61"/>
        <v>Unique ID</v>
      </c>
      <c r="V1306" t="str">
        <f t="shared" si="62"/>
        <v>No</v>
      </c>
    </row>
    <row r="1307" spans="1:22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>
        <f t="shared" si="60"/>
        <v>1</v>
      </c>
      <c r="R1307" t="str">
        <f t="shared" si="61"/>
        <v>Unique ID</v>
      </c>
      <c r="V1307" t="str">
        <f t="shared" si="62"/>
        <v>No</v>
      </c>
    </row>
    <row r="1308" spans="1:22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>
        <f t="shared" si="60"/>
        <v>1</v>
      </c>
      <c r="R1308" t="str">
        <f t="shared" si="61"/>
        <v>Unique ID</v>
      </c>
      <c r="V1308" t="str">
        <f t="shared" si="62"/>
        <v>No</v>
      </c>
    </row>
    <row r="1309" spans="1:22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>
        <f t="shared" si="60"/>
        <v>1</v>
      </c>
      <c r="R1309" t="str">
        <f t="shared" si="61"/>
        <v>Unique ID</v>
      </c>
      <c r="V1309" t="str">
        <f t="shared" si="62"/>
        <v>No</v>
      </c>
    </row>
    <row r="1310" spans="1:22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>
        <f t="shared" si="60"/>
        <v>1</v>
      </c>
      <c r="R1310" t="str">
        <f t="shared" si="61"/>
        <v>Unique ID</v>
      </c>
      <c r="V1310" t="str">
        <f t="shared" si="62"/>
        <v>No</v>
      </c>
    </row>
    <row r="1311" spans="1:22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>
        <f t="shared" si="60"/>
        <v>1</v>
      </c>
      <c r="R1311" t="str">
        <f t="shared" si="61"/>
        <v>Unique ID</v>
      </c>
      <c r="V1311" t="str">
        <f t="shared" si="62"/>
        <v>No</v>
      </c>
    </row>
    <row r="1312" spans="1:22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>
        <f t="shared" si="60"/>
        <v>1</v>
      </c>
      <c r="R1312" t="str">
        <f t="shared" si="61"/>
        <v>Unique ID</v>
      </c>
      <c r="V1312" t="str">
        <f t="shared" si="62"/>
        <v>Yes</v>
      </c>
    </row>
    <row r="1313" spans="1:22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>
        <f t="shared" si="60"/>
        <v>1</v>
      </c>
      <c r="R1313" t="str">
        <f t="shared" si="61"/>
        <v>Unique ID</v>
      </c>
      <c r="V1313" t="str">
        <f t="shared" si="62"/>
        <v>No</v>
      </c>
    </row>
    <row r="1314" spans="1:22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>
        <f t="shared" si="60"/>
        <v>1</v>
      </c>
      <c r="R1314" t="str">
        <f t="shared" si="61"/>
        <v>Unique ID</v>
      </c>
      <c r="V1314" t="str">
        <f t="shared" si="62"/>
        <v>No</v>
      </c>
    </row>
    <row r="1315" spans="1:22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>
        <f t="shared" si="60"/>
        <v>1</v>
      </c>
      <c r="R1315" t="str">
        <f t="shared" si="61"/>
        <v>Unique ID</v>
      </c>
      <c r="V1315" t="str">
        <f t="shared" si="62"/>
        <v>No</v>
      </c>
    </row>
    <row r="1316" spans="1:22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>
        <f t="shared" si="60"/>
        <v>1</v>
      </c>
      <c r="R1316" t="str">
        <f t="shared" si="61"/>
        <v>Unique ID</v>
      </c>
      <c r="V1316" t="str">
        <f t="shared" si="62"/>
        <v>No</v>
      </c>
    </row>
    <row r="1317" spans="1:22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>
        <f t="shared" si="60"/>
        <v>1</v>
      </c>
      <c r="R1317" t="str">
        <f t="shared" si="61"/>
        <v>Unique ID</v>
      </c>
      <c r="V1317" t="str">
        <f t="shared" si="62"/>
        <v>No</v>
      </c>
    </row>
    <row r="1318" spans="1:22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>
        <f t="shared" si="60"/>
        <v>1</v>
      </c>
      <c r="R1318" t="str">
        <f t="shared" si="61"/>
        <v>Unique ID</v>
      </c>
      <c r="V1318" t="str">
        <f t="shared" si="62"/>
        <v>No</v>
      </c>
    </row>
    <row r="1319" spans="1:22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>
        <f t="shared" si="60"/>
        <v>1</v>
      </c>
      <c r="R1319" t="str">
        <f t="shared" si="61"/>
        <v>Unique ID</v>
      </c>
      <c r="V1319" t="str">
        <f t="shared" si="62"/>
        <v>No</v>
      </c>
    </row>
    <row r="1320" spans="1:22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>
        <f t="shared" si="60"/>
        <v>1</v>
      </c>
      <c r="R1320" t="str">
        <f t="shared" si="61"/>
        <v>Unique ID</v>
      </c>
      <c r="V1320" t="str">
        <f t="shared" si="62"/>
        <v>Yes</v>
      </c>
    </row>
    <row r="1321" spans="1:22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>
        <f t="shared" si="60"/>
        <v>1</v>
      </c>
      <c r="R1321" t="str">
        <f t="shared" si="61"/>
        <v>Unique ID</v>
      </c>
      <c r="V1321" t="str">
        <f t="shared" si="62"/>
        <v>No</v>
      </c>
    </row>
    <row r="1322" spans="1:22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>
        <f t="shared" si="60"/>
        <v>1</v>
      </c>
      <c r="R1322" t="str">
        <f t="shared" si="61"/>
        <v>Unique ID</v>
      </c>
      <c r="V1322" t="str">
        <f t="shared" si="62"/>
        <v>No</v>
      </c>
    </row>
    <row r="1323" spans="1:22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>
        <f t="shared" si="60"/>
        <v>1</v>
      </c>
      <c r="R1323" t="str">
        <f t="shared" si="61"/>
        <v>Unique ID</v>
      </c>
      <c r="V1323" t="str">
        <f t="shared" si="62"/>
        <v>Yes</v>
      </c>
    </row>
    <row r="1324" spans="1:22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>
        <f t="shared" si="60"/>
        <v>1</v>
      </c>
      <c r="R1324" t="str">
        <f t="shared" si="61"/>
        <v>Unique ID</v>
      </c>
      <c r="V1324" t="str">
        <f t="shared" si="62"/>
        <v>No</v>
      </c>
    </row>
    <row r="1325" spans="1:22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>
        <f t="shared" si="60"/>
        <v>1</v>
      </c>
      <c r="R1325" t="str">
        <f t="shared" si="61"/>
        <v>Unique ID</v>
      </c>
      <c r="V1325" t="str">
        <f t="shared" si="62"/>
        <v>No</v>
      </c>
    </row>
    <row r="1326" spans="1:22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>
        <f t="shared" si="60"/>
        <v>1</v>
      </c>
      <c r="R1326" t="str">
        <f t="shared" si="61"/>
        <v>Unique ID</v>
      </c>
      <c r="V1326" t="str">
        <f t="shared" si="62"/>
        <v>No</v>
      </c>
    </row>
    <row r="1327" spans="1:22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>
        <f t="shared" si="60"/>
        <v>1</v>
      </c>
      <c r="R1327" t="str">
        <f t="shared" si="61"/>
        <v>Unique ID</v>
      </c>
      <c r="V1327" t="str">
        <f t="shared" si="62"/>
        <v>No</v>
      </c>
    </row>
    <row r="1328" spans="1:22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>
        <f t="shared" si="60"/>
        <v>1</v>
      </c>
      <c r="R1328" t="str">
        <f t="shared" si="61"/>
        <v>Unique ID</v>
      </c>
      <c r="V1328" t="str">
        <f t="shared" si="62"/>
        <v>No</v>
      </c>
    </row>
    <row r="1329" spans="1:22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>
        <f t="shared" si="60"/>
        <v>1</v>
      </c>
      <c r="R1329" t="str">
        <f t="shared" si="61"/>
        <v>Unique ID</v>
      </c>
      <c r="V1329" t="str">
        <f t="shared" si="62"/>
        <v>No</v>
      </c>
    </row>
    <row r="1330" spans="1:22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>
        <f t="shared" si="60"/>
        <v>1</v>
      </c>
      <c r="R1330" t="str">
        <f t="shared" si="61"/>
        <v>Unique ID</v>
      </c>
      <c r="V1330" t="str">
        <f t="shared" si="62"/>
        <v>No</v>
      </c>
    </row>
    <row r="1331" spans="1:22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>
        <f t="shared" si="60"/>
        <v>1</v>
      </c>
      <c r="R1331" t="str">
        <f t="shared" si="61"/>
        <v>Unique ID</v>
      </c>
      <c r="V1331" t="str">
        <f t="shared" si="62"/>
        <v>No</v>
      </c>
    </row>
    <row r="1332" spans="1:22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>
        <f t="shared" si="60"/>
        <v>1</v>
      </c>
      <c r="R1332" t="str">
        <f t="shared" si="61"/>
        <v>Unique ID</v>
      </c>
      <c r="V1332" t="str">
        <f t="shared" si="62"/>
        <v>No</v>
      </c>
    </row>
    <row r="1333" spans="1:22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>
        <f t="shared" si="60"/>
        <v>1</v>
      </c>
      <c r="R1333" t="str">
        <f t="shared" si="61"/>
        <v>Unique ID</v>
      </c>
      <c r="V1333" t="str">
        <f t="shared" si="62"/>
        <v>No</v>
      </c>
    </row>
    <row r="1334" spans="1:22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>
        <f t="shared" si="60"/>
        <v>1</v>
      </c>
      <c r="R1334" t="str">
        <f t="shared" si="61"/>
        <v>Unique ID</v>
      </c>
      <c r="V1334" t="str">
        <f t="shared" si="62"/>
        <v>No</v>
      </c>
    </row>
    <row r="1335" spans="1:22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>
        <f t="shared" si="60"/>
        <v>1</v>
      </c>
      <c r="R1335" t="str">
        <f t="shared" si="61"/>
        <v>Unique ID</v>
      </c>
      <c r="V1335" t="str">
        <f t="shared" si="62"/>
        <v>No</v>
      </c>
    </row>
    <row r="1336" spans="1:22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>
        <f t="shared" si="60"/>
        <v>1</v>
      </c>
      <c r="R1336" t="str">
        <f t="shared" si="61"/>
        <v>Unique ID</v>
      </c>
      <c r="V1336" t="str">
        <f t="shared" si="62"/>
        <v>No</v>
      </c>
    </row>
    <row r="1337" spans="1:22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>
        <f t="shared" si="60"/>
        <v>1</v>
      </c>
      <c r="R1337" t="str">
        <f t="shared" si="61"/>
        <v>Unique ID</v>
      </c>
      <c r="V1337" t="str">
        <f t="shared" si="62"/>
        <v>No</v>
      </c>
    </row>
    <row r="1338" spans="1:22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>
        <f t="shared" si="60"/>
        <v>1</v>
      </c>
      <c r="R1338" t="str">
        <f t="shared" si="61"/>
        <v>Unique ID</v>
      </c>
      <c r="V1338" t="str">
        <f t="shared" si="62"/>
        <v>No</v>
      </c>
    </row>
    <row r="1339" spans="1:22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>
        <f t="shared" si="60"/>
        <v>1</v>
      </c>
      <c r="R1339" t="str">
        <f t="shared" si="61"/>
        <v>Unique ID</v>
      </c>
      <c r="V1339" t="str">
        <f t="shared" si="62"/>
        <v>No</v>
      </c>
    </row>
    <row r="1340" spans="1:22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>
        <f t="shared" si="60"/>
        <v>1</v>
      </c>
      <c r="R1340" t="str">
        <f t="shared" si="61"/>
        <v>Unique ID</v>
      </c>
      <c r="V1340" t="str">
        <f t="shared" si="62"/>
        <v>No</v>
      </c>
    </row>
    <row r="1341" spans="1:22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>
        <f t="shared" si="60"/>
        <v>1</v>
      </c>
      <c r="R1341" t="str">
        <f t="shared" si="61"/>
        <v>Unique ID</v>
      </c>
      <c r="V1341" t="str">
        <f t="shared" si="62"/>
        <v>No</v>
      </c>
    </row>
    <row r="1342" spans="1:22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>
        <f t="shared" si="60"/>
        <v>1</v>
      </c>
      <c r="R1342" t="str">
        <f t="shared" si="61"/>
        <v>Unique ID</v>
      </c>
      <c r="V1342" t="str">
        <f t="shared" si="62"/>
        <v>No</v>
      </c>
    </row>
    <row r="1343" spans="1:22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>
        <f t="shared" si="60"/>
        <v>1</v>
      </c>
      <c r="R1343" t="str">
        <f t="shared" si="61"/>
        <v>Unique ID</v>
      </c>
      <c r="V1343" t="str">
        <f t="shared" si="62"/>
        <v>No</v>
      </c>
    </row>
    <row r="1344" spans="1:22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>
        <f t="shared" si="60"/>
        <v>1</v>
      </c>
      <c r="R1344" t="str">
        <f t="shared" si="61"/>
        <v>Unique ID</v>
      </c>
      <c r="V1344" t="str">
        <f t="shared" si="62"/>
        <v>No</v>
      </c>
    </row>
    <row r="1345" spans="1:22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>
        <f t="shared" si="60"/>
        <v>1</v>
      </c>
      <c r="R1345" t="str">
        <f t="shared" si="61"/>
        <v>Unique ID</v>
      </c>
      <c r="V1345" t="str">
        <f t="shared" si="62"/>
        <v>No</v>
      </c>
    </row>
    <row r="1346" spans="1:22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>
        <f t="shared" si="60"/>
        <v>1</v>
      </c>
      <c r="R1346" t="str">
        <f t="shared" si="61"/>
        <v>Unique ID</v>
      </c>
      <c r="V1346" t="str">
        <f t="shared" si="62"/>
        <v>No</v>
      </c>
    </row>
    <row r="1347" spans="1:22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>
        <f t="shared" ref="Q1347:Q1409" si="63">COUNTIF($A:$A,A1347)</f>
        <v>1</v>
      </c>
      <c r="R1347" t="str">
        <f t="shared" ref="R1347:R1409" si="64">IF(Q1347&gt;1,"Duplicate ID","Unique ID")</f>
        <v>Unique ID</v>
      </c>
      <c r="V1347" t="str">
        <f t="shared" ref="V1347:V1409" si="65">IF(OR(L1347&lt;$U$5,L1347&gt;$U$6),"Yes","No")</f>
        <v>No</v>
      </c>
    </row>
    <row r="1348" spans="1:22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>
        <f t="shared" si="63"/>
        <v>1</v>
      </c>
      <c r="R1348" t="str">
        <f t="shared" si="64"/>
        <v>Unique ID</v>
      </c>
      <c r="V1348" t="str">
        <f t="shared" si="65"/>
        <v>No</v>
      </c>
    </row>
    <row r="1349" spans="1:22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>
        <f t="shared" si="63"/>
        <v>1</v>
      </c>
      <c r="R1349" t="str">
        <f t="shared" si="64"/>
        <v>Unique ID</v>
      </c>
      <c r="V1349" t="str">
        <f t="shared" si="65"/>
        <v>No</v>
      </c>
    </row>
    <row r="1350" spans="1:22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>
        <f t="shared" si="63"/>
        <v>1</v>
      </c>
      <c r="R1350" t="str">
        <f t="shared" si="64"/>
        <v>Unique ID</v>
      </c>
      <c r="V1350" t="str">
        <f t="shared" si="65"/>
        <v>No</v>
      </c>
    </row>
    <row r="1351" spans="1:22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>
        <f t="shared" si="63"/>
        <v>1</v>
      </c>
      <c r="R1351" t="str">
        <f t="shared" si="64"/>
        <v>Unique ID</v>
      </c>
      <c r="V1351" t="str">
        <f t="shared" si="65"/>
        <v>Yes</v>
      </c>
    </row>
    <row r="1352" spans="1:22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>
        <f t="shared" si="63"/>
        <v>1</v>
      </c>
      <c r="R1352" t="str">
        <f t="shared" si="64"/>
        <v>Unique ID</v>
      </c>
      <c r="V1352" t="str">
        <f t="shared" si="65"/>
        <v>No</v>
      </c>
    </row>
    <row r="1353" spans="1:22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>
        <f t="shared" si="63"/>
        <v>1</v>
      </c>
      <c r="R1353" t="str">
        <f t="shared" si="64"/>
        <v>Unique ID</v>
      </c>
      <c r="V1353" t="str">
        <f t="shared" si="65"/>
        <v>No</v>
      </c>
    </row>
    <row r="1354" spans="1:22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>
        <f t="shared" si="63"/>
        <v>1</v>
      </c>
      <c r="R1354" t="str">
        <f t="shared" si="64"/>
        <v>Unique ID</v>
      </c>
      <c r="V1354" t="str">
        <f t="shared" si="65"/>
        <v>No</v>
      </c>
    </row>
    <row r="1355" spans="1:22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>
        <f t="shared" si="63"/>
        <v>1</v>
      </c>
      <c r="R1355" t="str">
        <f t="shared" si="64"/>
        <v>Unique ID</v>
      </c>
      <c r="V1355" t="str">
        <f t="shared" si="65"/>
        <v>No</v>
      </c>
    </row>
    <row r="1356" spans="1:22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>
        <f t="shared" si="63"/>
        <v>1</v>
      </c>
      <c r="R1356" t="str">
        <f t="shared" si="64"/>
        <v>Unique ID</v>
      </c>
      <c r="V1356" t="str">
        <f t="shared" si="65"/>
        <v>No</v>
      </c>
    </row>
    <row r="1357" spans="1:22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>
        <f t="shared" si="63"/>
        <v>1</v>
      </c>
      <c r="R1357" t="str">
        <f t="shared" si="64"/>
        <v>Unique ID</v>
      </c>
      <c r="V1357" t="str">
        <f t="shared" si="65"/>
        <v>No</v>
      </c>
    </row>
    <row r="1358" spans="1:22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>
        <f t="shared" si="63"/>
        <v>1</v>
      </c>
      <c r="R1358" t="str">
        <f t="shared" si="64"/>
        <v>Unique ID</v>
      </c>
      <c r="V1358" t="str">
        <f t="shared" si="65"/>
        <v>No</v>
      </c>
    </row>
    <row r="1359" spans="1:22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>
        <f t="shared" si="63"/>
        <v>1</v>
      </c>
      <c r="R1359" t="str">
        <f t="shared" si="64"/>
        <v>Unique ID</v>
      </c>
      <c r="V1359" t="str">
        <f t="shared" si="65"/>
        <v>No</v>
      </c>
    </row>
    <row r="1360" spans="1:22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>
        <f t="shared" si="63"/>
        <v>1</v>
      </c>
      <c r="R1360" t="str">
        <f t="shared" si="64"/>
        <v>Unique ID</v>
      </c>
      <c r="V1360" t="str">
        <f t="shared" si="65"/>
        <v>No</v>
      </c>
    </row>
    <row r="1361" spans="1:22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>
        <f t="shared" si="63"/>
        <v>1</v>
      </c>
      <c r="R1361" t="str">
        <f t="shared" si="64"/>
        <v>Unique ID</v>
      </c>
      <c r="V1361" t="str">
        <f t="shared" si="65"/>
        <v>No</v>
      </c>
    </row>
    <row r="1362" spans="1:22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>
        <f t="shared" si="63"/>
        <v>1</v>
      </c>
      <c r="R1362" t="str">
        <f t="shared" si="64"/>
        <v>Unique ID</v>
      </c>
      <c r="V1362" t="str">
        <f t="shared" si="65"/>
        <v>No</v>
      </c>
    </row>
    <row r="1363" spans="1:22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>
        <f t="shared" si="63"/>
        <v>2</v>
      </c>
      <c r="R1363" t="str">
        <f t="shared" si="64"/>
        <v>Duplicate ID</v>
      </c>
      <c r="V1363" t="str">
        <f t="shared" si="65"/>
        <v>No</v>
      </c>
    </row>
    <row r="1364" spans="1:22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>
        <f t="shared" si="63"/>
        <v>1</v>
      </c>
      <c r="R1364" t="str">
        <f t="shared" si="64"/>
        <v>Unique ID</v>
      </c>
      <c r="V1364" t="str">
        <f t="shared" si="65"/>
        <v>No</v>
      </c>
    </row>
    <row r="1365" spans="1:22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>
        <f t="shared" si="63"/>
        <v>1</v>
      </c>
      <c r="R1365" t="str">
        <f t="shared" si="64"/>
        <v>Unique ID</v>
      </c>
      <c r="V1365" t="str">
        <f t="shared" si="65"/>
        <v>No</v>
      </c>
    </row>
    <row r="1366" spans="1:22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>
        <f t="shared" si="63"/>
        <v>1</v>
      </c>
      <c r="R1366" t="str">
        <f t="shared" si="64"/>
        <v>Unique ID</v>
      </c>
      <c r="V1366" t="str">
        <f t="shared" si="65"/>
        <v>No</v>
      </c>
    </row>
    <row r="1367" spans="1:22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>
        <f t="shared" si="63"/>
        <v>1</v>
      </c>
      <c r="R1367" t="str">
        <f t="shared" si="64"/>
        <v>Unique ID</v>
      </c>
      <c r="V1367" t="str">
        <f t="shared" si="65"/>
        <v>No</v>
      </c>
    </row>
    <row r="1368" spans="1:22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>
        <f t="shared" si="63"/>
        <v>1</v>
      </c>
      <c r="R1368" t="str">
        <f t="shared" si="64"/>
        <v>Unique ID</v>
      </c>
      <c r="V1368" t="str">
        <f t="shared" si="65"/>
        <v>No</v>
      </c>
    </row>
    <row r="1369" spans="1:22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>
        <f t="shared" si="63"/>
        <v>1</v>
      </c>
      <c r="R1369" t="str">
        <f t="shared" si="64"/>
        <v>Unique ID</v>
      </c>
      <c r="V1369" t="str">
        <f t="shared" si="65"/>
        <v>No</v>
      </c>
    </row>
    <row r="1370" spans="1:22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>
        <f t="shared" si="63"/>
        <v>1</v>
      </c>
      <c r="R1370" t="str">
        <f t="shared" si="64"/>
        <v>Unique ID</v>
      </c>
      <c r="V1370" t="str">
        <f t="shared" si="65"/>
        <v>No</v>
      </c>
    </row>
    <row r="1371" spans="1:22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>
        <f t="shared" si="63"/>
        <v>1</v>
      </c>
      <c r="R1371" t="str">
        <f t="shared" si="64"/>
        <v>Unique ID</v>
      </c>
      <c r="V1371" t="str">
        <f t="shared" si="65"/>
        <v>No</v>
      </c>
    </row>
    <row r="1372" spans="1:22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>
        <f t="shared" si="63"/>
        <v>1</v>
      </c>
      <c r="R1372" t="str">
        <f t="shared" si="64"/>
        <v>Unique ID</v>
      </c>
      <c r="V1372" t="str">
        <f t="shared" si="65"/>
        <v>No</v>
      </c>
    </row>
    <row r="1373" spans="1:22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>
        <f t="shared" si="63"/>
        <v>1</v>
      </c>
      <c r="R1373" t="str">
        <f t="shared" si="64"/>
        <v>Unique ID</v>
      </c>
      <c r="V1373" t="str">
        <f t="shared" si="65"/>
        <v>No</v>
      </c>
    </row>
    <row r="1374" spans="1:22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>
        <f t="shared" si="63"/>
        <v>1</v>
      </c>
      <c r="R1374" t="str">
        <f t="shared" si="64"/>
        <v>Unique ID</v>
      </c>
      <c r="V1374" t="str">
        <f t="shared" si="65"/>
        <v>No</v>
      </c>
    </row>
    <row r="1375" spans="1:22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>
        <f t="shared" si="63"/>
        <v>1</v>
      </c>
      <c r="R1375" t="str">
        <f t="shared" si="64"/>
        <v>Unique ID</v>
      </c>
      <c r="V1375" t="str">
        <f t="shared" si="65"/>
        <v>No</v>
      </c>
    </row>
    <row r="1376" spans="1:22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>
        <f t="shared" si="63"/>
        <v>1</v>
      </c>
      <c r="R1376" t="str">
        <f t="shared" si="64"/>
        <v>Unique ID</v>
      </c>
      <c r="V1376" t="str">
        <f t="shared" si="65"/>
        <v>No</v>
      </c>
    </row>
    <row r="1377" spans="1:22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>
        <f t="shared" si="63"/>
        <v>1</v>
      </c>
      <c r="R1377" t="str">
        <f t="shared" si="64"/>
        <v>Unique ID</v>
      </c>
      <c r="V1377" t="str">
        <f t="shared" si="65"/>
        <v>No</v>
      </c>
    </row>
    <row r="1378" spans="1:22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>
        <f t="shared" si="63"/>
        <v>1</v>
      </c>
      <c r="R1378" t="str">
        <f t="shared" si="64"/>
        <v>Unique ID</v>
      </c>
      <c r="V1378" t="str">
        <f t="shared" si="65"/>
        <v>No</v>
      </c>
    </row>
    <row r="1379" spans="1:22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>
        <f t="shared" si="63"/>
        <v>1</v>
      </c>
      <c r="R1379" t="str">
        <f t="shared" si="64"/>
        <v>Unique ID</v>
      </c>
      <c r="V1379" t="str">
        <f t="shared" si="65"/>
        <v>No</v>
      </c>
    </row>
    <row r="1380" spans="1:22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>
        <f t="shared" si="63"/>
        <v>1</v>
      </c>
      <c r="R1380" t="str">
        <f t="shared" si="64"/>
        <v>Unique ID</v>
      </c>
      <c r="V1380" t="str">
        <f t="shared" si="65"/>
        <v>Yes</v>
      </c>
    </row>
    <row r="1381" spans="1:22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>
        <f t="shared" si="63"/>
        <v>1</v>
      </c>
      <c r="R1381" t="str">
        <f t="shared" si="64"/>
        <v>Unique ID</v>
      </c>
      <c r="V1381" t="str">
        <f t="shared" si="65"/>
        <v>No</v>
      </c>
    </row>
    <row r="1382" spans="1:22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>
        <f t="shared" si="63"/>
        <v>1</v>
      </c>
      <c r="R1382" t="str">
        <f t="shared" si="64"/>
        <v>Unique ID</v>
      </c>
      <c r="V1382" t="str">
        <f t="shared" si="65"/>
        <v>No</v>
      </c>
    </row>
    <row r="1383" spans="1:22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>
        <f t="shared" si="63"/>
        <v>1</v>
      </c>
      <c r="R1383" t="str">
        <f t="shared" si="64"/>
        <v>Unique ID</v>
      </c>
      <c r="V1383" t="str">
        <f t="shared" si="65"/>
        <v>No</v>
      </c>
    </row>
    <row r="1384" spans="1:22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>
        <f t="shared" si="63"/>
        <v>1</v>
      </c>
      <c r="R1384" t="str">
        <f t="shared" si="64"/>
        <v>Unique ID</v>
      </c>
      <c r="V1384" t="str">
        <f t="shared" si="65"/>
        <v>No</v>
      </c>
    </row>
    <row r="1385" spans="1:22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>
        <f t="shared" si="63"/>
        <v>1</v>
      </c>
      <c r="R1385" t="str">
        <f t="shared" si="64"/>
        <v>Unique ID</v>
      </c>
      <c r="V1385" t="str">
        <f t="shared" si="65"/>
        <v>No</v>
      </c>
    </row>
    <row r="1386" spans="1:22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>
        <f t="shared" si="63"/>
        <v>1</v>
      </c>
      <c r="R1386" t="str">
        <f t="shared" si="64"/>
        <v>Unique ID</v>
      </c>
      <c r="V1386" t="str">
        <f t="shared" si="65"/>
        <v>No</v>
      </c>
    </row>
    <row r="1387" spans="1:22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>
        <f t="shared" si="63"/>
        <v>1</v>
      </c>
      <c r="R1387" t="str">
        <f t="shared" si="64"/>
        <v>Unique ID</v>
      </c>
      <c r="V1387" t="str">
        <f t="shared" si="65"/>
        <v>No</v>
      </c>
    </row>
    <row r="1388" spans="1:22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>
        <f t="shared" si="63"/>
        <v>1</v>
      </c>
      <c r="R1388" t="str">
        <f t="shared" si="64"/>
        <v>Unique ID</v>
      </c>
      <c r="V1388" t="str">
        <f t="shared" si="65"/>
        <v>No</v>
      </c>
    </row>
    <row r="1389" spans="1:22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>
        <f t="shared" si="63"/>
        <v>1</v>
      </c>
      <c r="R1389" t="str">
        <f t="shared" si="64"/>
        <v>Unique ID</v>
      </c>
      <c r="V1389" t="str">
        <f t="shared" si="65"/>
        <v>No</v>
      </c>
    </row>
    <row r="1390" spans="1:22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>
        <f t="shared" si="63"/>
        <v>1</v>
      </c>
      <c r="R1390" t="str">
        <f t="shared" si="64"/>
        <v>Unique ID</v>
      </c>
      <c r="V1390" t="str">
        <f t="shared" si="65"/>
        <v>No</v>
      </c>
    </row>
    <row r="1391" spans="1:22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>
        <f t="shared" si="63"/>
        <v>1</v>
      </c>
      <c r="R1391" t="str">
        <f t="shared" si="64"/>
        <v>Unique ID</v>
      </c>
      <c r="V1391" t="str">
        <f t="shared" si="65"/>
        <v>No</v>
      </c>
    </row>
    <row r="1392" spans="1:22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>
        <f t="shared" si="63"/>
        <v>1</v>
      </c>
      <c r="R1392" t="str">
        <f t="shared" si="64"/>
        <v>Unique ID</v>
      </c>
      <c r="V1392" t="str">
        <f t="shared" si="65"/>
        <v>No</v>
      </c>
    </row>
    <row r="1393" spans="1:22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>
        <f t="shared" si="63"/>
        <v>1</v>
      </c>
      <c r="R1393" t="str">
        <f t="shared" si="64"/>
        <v>Unique ID</v>
      </c>
      <c r="V1393" t="str">
        <f t="shared" si="65"/>
        <v>No</v>
      </c>
    </row>
    <row r="1394" spans="1:22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>
        <f t="shared" si="63"/>
        <v>1</v>
      </c>
      <c r="R1394" t="str">
        <f t="shared" si="64"/>
        <v>Unique ID</v>
      </c>
      <c r="V1394" t="str">
        <f t="shared" si="65"/>
        <v>No</v>
      </c>
    </row>
    <row r="1395" spans="1:22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>
        <f t="shared" si="63"/>
        <v>1</v>
      </c>
      <c r="R1395" t="str">
        <f t="shared" si="64"/>
        <v>Unique ID</v>
      </c>
      <c r="V1395" t="str">
        <f t="shared" si="65"/>
        <v>No</v>
      </c>
    </row>
    <row r="1396" spans="1:22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>
        <f t="shared" si="63"/>
        <v>1</v>
      </c>
      <c r="R1396" t="str">
        <f t="shared" si="64"/>
        <v>Unique ID</v>
      </c>
      <c r="V1396" t="str">
        <f t="shared" si="65"/>
        <v>No</v>
      </c>
    </row>
    <row r="1397" spans="1:22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>
        <f t="shared" si="63"/>
        <v>1</v>
      </c>
      <c r="R1397" t="str">
        <f t="shared" si="64"/>
        <v>Unique ID</v>
      </c>
      <c r="V1397" t="str">
        <f t="shared" si="65"/>
        <v>Yes</v>
      </c>
    </row>
    <row r="1398" spans="1:22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>
        <f t="shared" si="63"/>
        <v>1</v>
      </c>
      <c r="R1398" t="str">
        <f t="shared" si="64"/>
        <v>Unique ID</v>
      </c>
      <c r="V1398" t="str">
        <f t="shared" si="65"/>
        <v>No</v>
      </c>
    </row>
    <row r="1399" spans="1:22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>
        <f t="shared" si="63"/>
        <v>1</v>
      </c>
      <c r="R1399" t="str">
        <f t="shared" si="64"/>
        <v>Unique ID</v>
      </c>
      <c r="V1399" t="str">
        <f t="shared" si="65"/>
        <v>No</v>
      </c>
    </row>
    <row r="1400" spans="1:22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>
        <f t="shared" si="63"/>
        <v>1</v>
      </c>
      <c r="R1400" t="str">
        <f t="shared" si="64"/>
        <v>Unique ID</v>
      </c>
      <c r="V1400" t="str">
        <f t="shared" si="65"/>
        <v>No</v>
      </c>
    </row>
    <row r="1401" spans="1:22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>
        <f t="shared" si="63"/>
        <v>1</v>
      </c>
      <c r="R1401" t="str">
        <f t="shared" si="64"/>
        <v>Unique ID</v>
      </c>
      <c r="V1401" t="str">
        <f t="shared" si="65"/>
        <v>No</v>
      </c>
    </row>
    <row r="1402" spans="1:22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>
        <f t="shared" si="63"/>
        <v>2</v>
      </c>
      <c r="R1402" t="str">
        <f t="shared" si="64"/>
        <v>Duplicate ID</v>
      </c>
      <c r="V1402" t="str">
        <f t="shared" si="65"/>
        <v>No</v>
      </c>
    </row>
    <row r="1403" spans="1:22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>
        <f t="shared" si="63"/>
        <v>2</v>
      </c>
      <c r="R1403" t="str">
        <f t="shared" si="64"/>
        <v>Duplicate ID</v>
      </c>
      <c r="V1403" t="str">
        <f t="shared" si="65"/>
        <v>No</v>
      </c>
    </row>
    <row r="1404" spans="1:22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>
        <f t="shared" si="63"/>
        <v>2</v>
      </c>
      <c r="R1404" t="str">
        <f t="shared" si="64"/>
        <v>Duplicate ID</v>
      </c>
      <c r="V1404" t="str">
        <f t="shared" si="65"/>
        <v>No</v>
      </c>
    </row>
    <row r="1405" spans="1:22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>
        <f t="shared" si="63"/>
        <v>2</v>
      </c>
      <c r="R1405" t="str">
        <f t="shared" si="64"/>
        <v>Duplicate ID</v>
      </c>
      <c r="V1405" t="str">
        <f t="shared" si="65"/>
        <v>No</v>
      </c>
    </row>
    <row r="1406" spans="1:22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>
        <f t="shared" si="63"/>
        <v>2</v>
      </c>
      <c r="R1406" t="str">
        <f t="shared" si="64"/>
        <v>Duplicate ID</v>
      </c>
      <c r="V1406" t="str">
        <f t="shared" si="65"/>
        <v>No</v>
      </c>
    </row>
    <row r="1407" spans="1:22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>
        <f t="shared" si="63"/>
        <v>2</v>
      </c>
      <c r="R1407" t="str">
        <f t="shared" si="64"/>
        <v>Duplicate ID</v>
      </c>
      <c r="V1407" t="str">
        <f t="shared" si="65"/>
        <v>No</v>
      </c>
    </row>
    <row r="1408" spans="1:22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>
        <f t="shared" si="63"/>
        <v>2</v>
      </c>
      <c r="R1408" t="str">
        <f t="shared" si="64"/>
        <v>Duplicate ID</v>
      </c>
      <c r="V1408" t="str">
        <f t="shared" si="65"/>
        <v>No</v>
      </c>
    </row>
    <row r="1409" spans="1:22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>
        <f t="shared" si="63"/>
        <v>2</v>
      </c>
      <c r="R1409" t="str">
        <f t="shared" si="64"/>
        <v>Duplicate ID</v>
      </c>
      <c r="V1409" t="str">
        <f t="shared" si="65"/>
        <v>No</v>
      </c>
    </row>
  </sheetData>
  <autoFilter ref="A1:R1409" xr:uid="{00000000-0001-0000-00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1433</v>
      </c>
      <c r="B1" s="1" t="s">
        <v>1434</v>
      </c>
    </row>
    <row r="2" spans="1:2" ht="56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2">
      <c r="A5" s="3" t="s">
        <v>1439</v>
      </c>
      <c r="B5" s="3" t="s">
        <v>1440</v>
      </c>
    </row>
    <row r="6" spans="1:2" ht="28">
      <c r="A6" s="3" t="s">
        <v>7</v>
      </c>
      <c r="B6" s="3" t="s">
        <v>1441</v>
      </c>
    </row>
    <row r="7" spans="1:2" ht="28">
      <c r="A7" s="3" t="s">
        <v>8</v>
      </c>
      <c r="B7" s="3" t="s">
        <v>1442</v>
      </c>
    </row>
    <row r="8" spans="1:2" ht="28">
      <c r="A8" s="3" t="s">
        <v>9</v>
      </c>
      <c r="B8" s="3" t="s">
        <v>1443</v>
      </c>
    </row>
    <row r="9" spans="1:2" ht="28">
      <c r="A9" s="3" t="s">
        <v>10</v>
      </c>
      <c r="B9" s="3" t="s">
        <v>1444</v>
      </c>
    </row>
    <row r="10" spans="1:2" ht="28">
      <c r="A10" s="3" t="s">
        <v>11</v>
      </c>
      <c r="B10" s="3" t="s">
        <v>1445</v>
      </c>
    </row>
    <row r="11" spans="1:2" ht="28">
      <c r="A11" s="3" t="s">
        <v>12</v>
      </c>
      <c r="B11" s="3" t="s">
        <v>1446</v>
      </c>
    </row>
    <row r="12" spans="1:2" ht="28">
      <c r="A12" s="3" t="s">
        <v>13</v>
      </c>
      <c r="B12" s="3" t="s">
        <v>1447</v>
      </c>
    </row>
    <row r="13" spans="1:2" ht="28">
      <c r="A13" s="3" t="s">
        <v>15</v>
      </c>
      <c r="B13" s="3" t="s">
        <v>1448</v>
      </c>
    </row>
    <row r="14" spans="1:2" ht="56">
      <c r="A14" s="3" t="s">
        <v>1449</v>
      </c>
      <c r="B14" s="3" t="s">
        <v>1450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8484-2035-4A29-ACA6-BAE06B743F2C}">
  <dimension ref="A1:C12"/>
  <sheetViews>
    <sheetView tabSelected="1" zoomScale="97" workbookViewId="0">
      <selection activeCell="F7" sqref="F7"/>
    </sheetView>
  </sheetViews>
  <sheetFormatPr defaultRowHeight="14"/>
  <cols>
    <col min="1" max="1" width="18.58203125" customWidth="1"/>
    <col min="2" max="2" width="13.5" customWidth="1"/>
    <col min="3" max="3" width="13.33203125" customWidth="1"/>
  </cols>
  <sheetData>
    <row r="1" spans="1:3">
      <c r="A1" s="7" t="s">
        <v>1462</v>
      </c>
      <c r="B1" s="7" t="s">
        <v>17</v>
      </c>
      <c r="C1" s="7" t="s">
        <v>723</v>
      </c>
    </row>
    <row r="2" spans="1:3">
      <c r="A2" s="10" t="s">
        <v>1463</v>
      </c>
      <c r="B2" s="10">
        <v>693</v>
      </c>
      <c r="C2" s="10">
        <v>715</v>
      </c>
    </row>
    <row r="3" spans="1:3" ht="28">
      <c r="A3" s="10" t="s">
        <v>1464</v>
      </c>
      <c r="B3" s="11">
        <v>0.63639999999999997</v>
      </c>
      <c r="C3" s="11">
        <v>0.72589999999999999</v>
      </c>
    </row>
    <row r="4" spans="1:3">
      <c r="A4" s="10" t="s">
        <v>1465</v>
      </c>
      <c r="B4" s="11">
        <v>0.25109999999999999</v>
      </c>
      <c r="C4" s="11">
        <v>0.29089999999999999</v>
      </c>
    </row>
    <row r="5" spans="1:3" ht="28">
      <c r="A5" s="10" t="s">
        <v>1466</v>
      </c>
      <c r="B5" s="11">
        <v>0.15579999999999999</v>
      </c>
      <c r="C5" s="11">
        <v>0.21260000000000001</v>
      </c>
    </row>
    <row r="6" spans="1:3">
      <c r="A6" s="10" t="s">
        <v>1467</v>
      </c>
      <c r="B6" s="11">
        <v>3.1699999999999999E-2</v>
      </c>
      <c r="C6" s="11">
        <v>6.9900000000000004E-2</v>
      </c>
    </row>
    <row r="7" spans="1:3" ht="28">
      <c r="A7" s="10" t="s">
        <v>1468</v>
      </c>
      <c r="B7" s="10">
        <v>51.75</v>
      </c>
      <c r="C7" s="10">
        <v>53.88</v>
      </c>
    </row>
    <row r="8" spans="1:3" ht="28">
      <c r="A8" s="10" t="s">
        <v>1469</v>
      </c>
      <c r="B8" s="10">
        <v>1630.1</v>
      </c>
      <c r="C8" s="10">
        <v>770.41</v>
      </c>
    </row>
    <row r="9" spans="1:3">
      <c r="A9" s="10" t="s">
        <v>1470</v>
      </c>
      <c r="B9" s="11">
        <v>0</v>
      </c>
      <c r="C9" s="11">
        <v>4.1999999999999997E-3</v>
      </c>
    </row>
    <row r="10" spans="1:3">
      <c r="A10" s="10" t="s">
        <v>1471</v>
      </c>
      <c r="B10" s="11">
        <v>0.1472</v>
      </c>
      <c r="C10" s="11">
        <v>0.24579999999999999</v>
      </c>
    </row>
    <row r="11" spans="1:3" ht="28">
      <c r="A11" s="10" t="s">
        <v>1472</v>
      </c>
      <c r="B11" s="10">
        <v>57.03</v>
      </c>
      <c r="C11" s="10">
        <v>62.69</v>
      </c>
    </row>
    <row r="12" spans="1:3" ht="28">
      <c r="A12" s="10" t="s">
        <v>1473</v>
      </c>
      <c r="B12" s="10">
        <v>8.86</v>
      </c>
      <c r="C12" s="10">
        <v>6.4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3B4E-CC00-42D1-9EFB-C2DD3995A47A}">
  <dimension ref="A1:B9"/>
  <sheetViews>
    <sheetView zoomScale="87" workbookViewId="0">
      <selection activeCell="E3" sqref="E3"/>
    </sheetView>
  </sheetViews>
  <sheetFormatPr defaultRowHeight="14"/>
  <cols>
    <col min="1" max="1" width="20.4140625" customWidth="1"/>
    <col min="2" max="2" width="25.1640625" customWidth="1"/>
  </cols>
  <sheetData>
    <row r="1" spans="1:2">
      <c r="A1" s="7" t="s">
        <v>1462</v>
      </c>
      <c r="B1" s="7" t="s">
        <v>1474</v>
      </c>
    </row>
    <row r="2" spans="1:2" ht="42">
      <c r="A2" s="8" t="s">
        <v>1475</v>
      </c>
      <c r="B2" s="8" t="s">
        <v>1476</v>
      </c>
    </row>
    <row r="3" spans="1:2" ht="42">
      <c r="A3" s="8" t="s">
        <v>1477</v>
      </c>
      <c r="B3" s="9">
        <v>3.1699999999999999E-2</v>
      </c>
    </row>
    <row r="4" spans="1:2" ht="56">
      <c r="A4" s="8" t="s">
        <v>1478</v>
      </c>
      <c r="B4" s="9">
        <v>6.9900000000000004E-2</v>
      </c>
    </row>
    <row r="5" spans="1:2">
      <c r="A5" s="8" t="s">
        <v>1479</v>
      </c>
      <c r="B5" s="8">
        <v>3.25</v>
      </c>
    </row>
    <row r="6" spans="1:2">
      <c r="A6" s="8" t="s">
        <v>1480</v>
      </c>
      <c r="B6" s="8">
        <v>5.8E-4</v>
      </c>
    </row>
    <row r="7" spans="1:2">
      <c r="A7" s="8" t="s">
        <v>1481</v>
      </c>
      <c r="B7" s="8">
        <v>0.05</v>
      </c>
    </row>
    <row r="8" spans="1:2">
      <c r="A8" s="8" t="s">
        <v>1482</v>
      </c>
      <c r="B8" s="8" t="s">
        <v>1483</v>
      </c>
    </row>
    <row r="9" spans="1:2" ht="112">
      <c r="A9" s="8" t="s">
        <v>1484</v>
      </c>
      <c r="B9" s="8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experiment_data (2)</vt:lpstr>
      <vt:lpstr>Group_Counts</vt:lpstr>
      <vt:lpstr>experiment group segementation</vt:lpstr>
      <vt:lpstr>device type</vt:lpstr>
      <vt:lpstr>Traffic source</vt:lpstr>
      <vt:lpstr>plan type</vt:lpstr>
      <vt:lpstr>experiment_data</vt:lpstr>
      <vt:lpstr>business_context</vt:lpstr>
      <vt:lpstr>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2026-06-23T17:37:55Z</dcterms:created>
  <dcterms:modified xsi:type="dcterms:W3CDTF">2026-06-24T09:48:24Z</dcterms:modified>
</cp:coreProperties>
</file>